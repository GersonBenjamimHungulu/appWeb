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erson B Hungulu\Downloads\"/>
    </mc:Choice>
  </mc:AlternateContent>
  <xr:revisionPtr revIDLastSave="0" documentId="13_ncr:1_{E9491B51-423C-4C98-B983-0AC0125E0ABF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Biologia" sheetId="1" r:id="rId1"/>
    <sheet name="Geografia" sheetId="2" r:id="rId2"/>
    <sheet name="Análise Matemática 1 BM" sheetId="6" r:id="rId3"/>
    <sheet name="Análise Matemática 2 BM" sheetId="7" r:id="rId4"/>
    <sheet name="Computadores no Ensino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9" i="9" l="1"/>
  <c r="G29" i="9"/>
  <c r="F29" i="9" s="1"/>
  <c r="J29" i="9" s="1"/>
  <c r="C29" i="9"/>
  <c r="AE28" i="9"/>
  <c r="G28" i="9" s="1"/>
  <c r="F28" i="9" s="1"/>
  <c r="C28" i="9"/>
  <c r="AE27" i="9"/>
  <c r="G27" i="9" s="1"/>
  <c r="F27" i="9" s="1"/>
  <c r="C27" i="9"/>
  <c r="AE26" i="9"/>
  <c r="G26" i="9"/>
  <c r="F26" i="9" s="1"/>
  <c r="J26" i="9" s="1"/>
  <c r="C26" i="9"/>
  <c r="AE25" i="9"/>
  <c r="G25" i="9" s="1"/>
  <c r="F25" i="9" s="1"/>
  <c r="C25" i="9"/>
  <c r="AE24" i="9"/>
  <c r="G24" i="9"/>
  <c r="F24" i="9" s="1"/>
  <c r="C24" i="9"/>
  <c r="AE23" i="9"/>
  <c r="G23" i="9"/>
  <c r="F23" i="9" s="1"/>
  <c r="C23" i="9"/>
  <c r="AE22" i="9"/>
  <c r="G22" i="9" s="1"/>
  <c r="F22" i="9" s="1"/>
  <c r="C22" i="9"/>
  <c r="AE21" i="9"/>
  <c r="G21" i="9"/>
  <c r="F21" i="9" s="1"/>
  <c r="C21" i="9"/>
  <c r="AE20" i="9"/>
  <c r="G20" i="9" s="1"/>
  <c r="F20" i="9" s="1"/>
  <c r="C20" i="9"/>
  <c r="AE19" i="9"/>
  <c r="G19" i="9"/>
  <c r="F19" i="9"/>
  <c r="C19" i="9"/>
  <c r="AE18" i="9"/>
  <c r="G18" i="9"/>
  <c r="F18" i="9" s="1"/>
  <c r="C18" i="9"/>
  <c r="AE17" i="9"/>
  <c r="G17" i="9" s="1"/>
  <c r="F17" i="9" s="1"/>
  <c r="J17" i="9" s="1"/>
  <c r="C17" i="9"/>
  <c r="AE16" i="9"/>
  <c r="G16" i="9" s="1"/>
  <c r="F16" i="9" s="1"/>
  <c r="C16" i="9"/>
  <c r="AE15" i="9"/>
  <c r="G15" i="9" s="1"/>
  <c r="F15" i="9" s="1"/>
  <c r="C15" i="9"/>
  <c r="AE14" i="9"/>
  <c r="G14" i="9"/>
  <c r="F14" i="9"/>
  <c r="J14" i="9" s="1"/>
  <c r="C14" i="9"/>
  <c r="AE13" i="9"/>
  <c r="G13" i="9" s="1"/>
  <c r="F13" i="9" s="1"/>
  <c r="O13" i="9"/>
  <c r="C13" i="9" s="1"/>
  <c r="AE12" i="9"/>
  <c r="G12" i="9"/>
  <c r="F12" i="9" s="1"/>
  <c r="J12" i="9" s="1"/>
  <c r="C12" i="9"/>
  <c r="AE11" i="9"/>
  <c r="G11" i="9" s="1"/>
  <c r="F11" i="9" s="1"/>
  <c r="C11" i="9"/>
  <c r="AE10" i="9"/>
  <c r="O10" i="9"/>
  <c r="C10" i="9" s="1"/>
  <c r="G10" i="9"/>
  <c r="F10" i="9" s="1"/>
  <c r="AE9" i="9"/>
  <c r="G9" i="9"/>
  <c r="F9" i="9" s="1"/>
  <c r="C9" i="9"/>
  <c r="AE8" i="9"/>
  <c r="O8" i="9"/>
  <c r="G8" i="9"/>
  <c r="F8" i="9" s="1"/>
  <c r="C8" i="9"/>
  <c r="AE7" i="9"/>
  <c r="G7" i="9" s="1"/>
  <c r="F7" i="9" s="1"/>
  <c r="O7" i="9"/>
  <c r="C7" i="9" s="1"/>
  <c r="AE6" i="9"/>
  <c r="G6" i="9" s="1"/>
  <c r="F6" i="9" s="1"/>
  <c r="J6" i="9" s="1"/>
  <c r="C6" i="9"/>
  <c r="E58" i="7"/>
  <c r="D58" i="7"/>
  <c r="E57" i="7"/>
  <c r="D57" i="7"/>
  <c r="E56" i="7"/>
  <c r="D56" i="7"/>
  <c r="F55" i="7"/>
  <c r="C55" i="7"/>
  <c r="S54" i="7"/>
  <c r="P54" i="7"/>
  <c r="C54" i="7" s="1"/>
  <c r="F54" i="7" s="1"/>
  <c r="S53" i="7"/>
  <c r="N53" i="7"/>
  <c r="C53" i="7" s="1"/>
  <c r="F53" i="7" s="1"/>
  <c r="G53" i="7"/>
  <c r="S52" i="7"/>
  <c r="R52" i="7"/>
  <c r="L52" i="7"/>
  <c r="C52" i="7"/>
  <c r="F52" i="7" s="1"/>
  <c r="R51" i="7"/>
  <c r="C51" i="7"/>
  <c r="F51" i="7" s="1"/>
  <c r="P50" i="7"/>
  <c r="C50" i="7" s="1"/>
  <c r="F50" i="7" s="1"/>
  <c r="J50" i="7" s="1"/>
  <c r="H50" i="7"/>
  <c r="J49" i="7"/>
  <c r="H49" i="7"/>
  <c r="C49" i="7"/>
  <c r="F49" i="7" s="1"/>
  <c r="H48" i="7"/>
  <c r="F48" i="7"/>
  <c r="J48" i="7" s="1"/>
  <c r="C48" i="7"/>
  <c r="S47" i="7"/>
  <c r="C47" i="7"/>
  <c r="F47" i="7" s="1"/>
  <c r="N46" i="7"/>
  <c r="C46" i="7"/>
  <c r="C61" i="7" s="1"/>
  <c r="P45" i="7"/>
  <c r="C45" i="7" s="1"/>
  <c r="F45" i="7"/>
  <c r="F44" i="7"/>
  <c r="C44" i="7"/>
  <c r="C43" i="7"/>
  <c r="F43" i="7" s="1"/>
  <c r="S42" i="7"/>
  <c r="C42" i="7" s="1"/>
  <c r="F42" i="7" s="1"/>
  <c r="H42" i="7" s="1"/>
  <c r="J42" i="7"/>
  <c r="C41" i="7"/>
  <c r="F41" i="7" s="1"/>
  <c r="C40" i="7"/>
  <c r="F40" i="7" s="1"/>
  <c r="S39" i="7"/>
  <c r="C39" i="7"/>
  <c r="F39" i="7" s="1"/>
  <c r="H39" i="7" s="1"/>
  <c r="J38" i="7"/>
  <c r="C38" i="7"/>
  <c r="F38" i="7" s="1"/>
  <c r="H38" i="7" s="1"/>
  <c r="G37" i="7"/>
  <c r="C37" i="7"/>
  <c r="F37" i="7" s="1"/>
  <c r="G36" i="7"/>
  <c r="F36" i="7"/>
  <c r="C36" i="7"/>
  <c r="H35" i="7"/>
  <c r="F35" i="7"/>
  <c r="J35" i="7" s="1"/>
  <c r="C35" i="7"/>
  <c r="R34" i="7"/>
  <c r="P34" i="7"/>
  <c r="C34" i="7"/>
  <c r="F34" i="7" s="1"/>
  <c r="C33" i="7"/>
  <c r="F33" i="7" s="1"/>
  <c r="H33" i="7" s="1"/>
  <c r="S32" i="7"/>
  <c r="C32" i="7" s="1"/>
  <c r="F32" i="7"/>
  <c r="F31" i="7"/>
  <c r="C31" i="7"/>
  <c r="U30" i="7"/>
  <c r="P30" i="7"/>
  <c r="J30" i="7"/>
  <c r="H30" i="7"/>
  <c r="F30" i="7"/>
  <c r="C30" i="7"/>
  <c r="S29" i="7"/>
  <c r="C29" i="7"/>
  <c r="F29" i="7" s="1"/>
  <c r="J28" i="7"/>
  <c r="H28" i="7"/>
  <c r="F28" i="7"/>
  <c r="C28" i="7"/>
  <c r="L27" i="7"/>
  <c r="C27" i="7"/>
  <c r="F27" i="7" s="1"/>
  <c r="H27" i="7" s="1"/>
  <c r="P26" i="7"/>
  <c r="F26" i="7"/>
  <c r="H26" i="7" s="1"/>
  <c r="C26" i="7"/>
  <c r="S25" i="7"/>
  <c r="C25" i="7"/>
  <c r="F25" i="7" s="1"/>
  <c r="S24" i="7"/>
  <c r="C24" i="7"/>
  <c r="F24" i="7" s="1"/>
  <c r="J23" i="7"/>
  <c r="C23" i="7"/>
  <c r="F23" i="7" s="1"/>
  <c r="H23" i="7" s="1"/>
  <c r="P22" i="7"/>
  <c r="N22" i="7"/>
  <c r="C22" i="7" s="1"/>
  <c r="F22" i="7" s="1"/>
  <c r="H22" i="7" s="1"/>
  <c r="J22" i="7"/>
  <c r="G22" i="7"/>
  <c r="H21" i="7"/>
  <c r="J21" i="7" s="1"/>
  <c r="F21" i="7"/>
  <c r="C21" i="7"/>
  <c r="R20" i="7"/>
  <c r="P20" i="7"/>
  <c r="L20" i="7"/>
  <c r="C20" i="7" s="1"/>
  <c r="F20" i="7"/>
  <c r="S19" i="7"/>
  <c r="J19" i="7"/>
  <c r="H19" i="7"/>
  <c r="F19" i="7"/>
  <c r="C19" i="7"/>
  <c r="H18" i="7"/>
  <c r="F18" i="7"/>
  <c r="J18" i="7" s="1"/>
  <c r="C18" i="7"/>
  <c r="L17" i="7"/>
  <c r="C17" i="7" s="1"/>
  <c r="F17" i="7" s="1"/>
  <c r="H17" i="7" s="1"/>
  <c r="J17" i="7"/>
  <c r="G17" i="7"/>
  <c r="C16" i="7"/>
  <c r="F16" i="7" s="1"/>
  <c r="C15" i="7"/>
  <c r="F15" i="7" s="1"/>
  <c r="C14" i="7"/>
  <c r="F14" i="7" s="1"/>
  <c r="S13" i="7"/>
  <c r="H13" i="7"/>
  <c r="F13" i="7"/>
  <c r="C13" i="7"/>
  <c r="H12" i="7"/>
  <c r="J12" i="7" s="1"/>
  <c r="F12" i="7"/>
  <c r="C12" i="7"/>
  <c r="S11" i="7"/>
  <c r="H11" i="7"/>
  <c r="J11" i="7" s="1"/>
  <c r="F11" i="7"/>
  <c r="C11" i="7"/>
  <c r="S10" i="7"/>
  <c r="R10" i="7"/>
  <c r="P10" i="7"/>
  <c r="S9" i="7"/>
  <c r="G9" i="7"/>
  <c r="C9" i="7"/>
  <c r="F9" i="7" s="1"/>
  <c r="J8" i="7"/>
  <c r="H8" i="7"/>
  <c r="F8" i="7"/>
  <c r="C8" i="7"/>
  <c r="C7" i="7"/>
  <c r="F7" i="7" s="1"/>
  <c r="C6" i="7"/>
  <c r="F6" i="7" s="1"/>
  <c r="H6" i="7" s="1"/>
  <c r="I82" i="6"/>
  <c r="I83" i="6" s="1"/>
  <c r="I81" i="6"/>
  <c r="I80" i="6"/>
  <c r="I79" i="6"/>
  <c r="G76" i="6"/>
  <c r="L75" i="6"/>
  <c r="F75" i="6"/>
  <c r="C75" i="6"/>
  <c r="H74" i="6"/>
  <c r="F74" i="6"/>
  <c r="C74" i="6"/>
  <c r="L73" i="6"/>
  <c r="J73" i="6"/>
  <c r="H73" i="6"/>
  <c r="F73" i="6"/>
  <c r="C73" i="6"/>
  <c r="L72" i="6"/>
  <c r="C72" i="6"/>
  <c r="F72" i="6" s="1"/>
  <c r="H72" i="6" s="1"/>
  <c r="N71" i="6"/>
  <c r="C71" i="6" s="1"/>
  <c r="F71" i="6"/>
  <c r="C70" i="6"/>
  <c r="F70" i="6" s="1"/>
  <c r="L69" i="6"/>
  <c r="C69" i="6" s="1"/>
  <c r="F69" i="6" s="1"/>
  <c r="F68" i="6"/>
  <c r="C68" i="6"/>
  <c r="C67" i="6"/>
  <c r="F67" i="6" s="1"/>
  <c r="J66" i="6"/>
  <c r="H66" i="6"/>
  <c r="F66" i="6"/>
  <c r="C66" i="6"/>
  <c r="L65" i="6"/>
  <c r="J65" i="6"/>
  <c r="H65" i="6"/>
  <c r="F65" i="6"/>
  <c r="C65" i="6"/>
  <c r="C64" i="6"/>
  <c r="F64" i="6" s="1"/>
  <c r="J63" i="6"/>
  <c r="H63" i="6"/>
  <c r="F63" i="6"/>
  <c r="C63" i="6"/>
  <c r="L62" i="6"/>
  <c r="C62" i="6" s="1"/>
  <c r="F62" i="6" s="1"/>
  <c r="C61" i="6"/>
  <c r="F61" i="6" s="1"/>
  <c r="C60" i="6"/>
  <c r="F60" i="6" s="1"/>
  <c r="J60" i="6" s="1"/>
  <c r="J59" i="6"/>
  <c r="C59" i="6"/>
  <c r="F59" i="6" s="1"/>
  <c r="H59" i="6" s="1"/>
  <c r="C58" i="6"/>
  <c r="F58" i="6" s="1"/>
  <c r="H58" i="6" s="1"/>
  <c r="C57" i="6"/>
  <c r="F57" i="6" s="1"/>
  <c r="C56" i="6"/>
  <c r="F56" i="6" s="1"/>
  <c r="H56" i="6" s="1"/>
  <c r="L55" i="6"/>
  <c r="C55" i="6" s="1"/>
  <c r="F55" i="6"/>
  <c r="L54" i="6"/>
  <c r="C54" i="6" s="1"/>
  <c r="H54" i="6"/>
  <c r="F54" i="6"/>
  <c r="C53" i="6"/>
  <c r="F53" i="6" s="1"/>
  <c r="L52" i="6"/>
  <c r="C52" i="6" s="1"/>
  <c r="F52" i="6" s="1"/>
  <c r="H52" i="6" s="1"/>
  <c r="J52" i="6"/>
  <c r="C51" i="6"/>
  <c r="F51" i="6" s="1"/>
  <c r="H51" i="6" s="1"/>
  <c r="J51" i="6" s="1"/>
  <c r="C50" i="6"/>
  <c r="F50" i="6" s="1"/>
  <c r="F49" i="6"/>
  <c r="J49" i="6" s="1"/>
  <c r="C49" i="6"/>
  <c r="L48" i="6"/>
  <c r="C48" i="6" s="1"/>
  <c r="F48" i="6" s="1"/>
  <c r="H48" i="6" s="1"/>
  <c r="J48" i="6"/>
  <c r="L47" i="6"/>
  <c r="C47" i="6"/>
  <c r="F47" i="6" s="1"/>
  <c r="J46" i="6"/>
  <c r="F46" i="6"/>
  <c r="H46" i="6" s="1"/>
  <c r="C46" i="6"/>
  <c r="F45" i="6"/>
  <c r="C45" i="6"/>
  <c r="C44" i="6"/>
  <c r="F44" i="6" s="1"/>
  <c r="H44" i="6" s="1"/>
  <c r="C43" i="6"/>
  <c r="F43" i="6" s="1"/>
  <c r="C42" i="6"/>
  <c r="F42" i="6" s="1"/>
  <c r="J41" i="6"/>
  <c r="H41" i="6"/>
  <c r="F41" i="6"/>
  <c r="C41" i="6"/>
  <c r="C40" i="6"/>
  <c r="F40" i="6" s="1"/>
  <c r="L39" i="6"/>
  <c r="C39" i="6"/>
  <c r="F39" i="6" s="1"/>
  <c r="H38" i="6"/>
  <c r="J38" i="6" s="1"/>
  <c r="F38" i="6"/>
  <c r="C38" i="6"/>
  <c r="H37" i="6"/>
  <c r="F37" i="6"/>
  <c r="C37" i="6"/>
  <c r="L36" i="6"/>
  <c r="C36" i="6"/>
  <c r="F36" i="6" s="1"/>
  <c r="H35" i="6"/>
  <c r="J35" i="6" s="1"/>
  <c r="F35" i="6"/>
  <c r="C35" i="6"/>
  <c r="L34" i="6"/>
  <c r="C34" i="6" s="1"/>
  <c r="F34" i="6" s="1"/>
  <c r="L33" i="6"/>
  <c r="C33" i="6"/>
  <c r="F33" i="6" s="1"/>
  <c r="F32" i="6"/>
  <c r="H32" i="6" s="1"/>
  <c r="C32" i="6"/>
  <c r="H31" i="6"/>
  <c r="F31" i="6"/>
  <c r="J31" i="6" s="1"/>
  <c r="C31" i="6"/>
  <c r="C30" i="6"/>
  <c r="F30" i="6" s="1"/>
  <c r="C29" i="6"/>
  <c r="F29" i="6" s="1"/>
  <c r="F28" i="6"/>
  <c r="C28" i="6"/>
  <c r="C27" i="6"/>
  <c r="F27" i="6" s="1"/>
  <c r="F26" i="6"/>
  <c r="C26" i="6"/>
  <c r="C25" i="6"/>
  <c r="F25" i="6" s="1"/>
  <c r="J24" i="6"/>
  <c r="H24" i="6"/>
  <c r="F24" i="6"/>
  <c r="C24" i="6"/>
  <c r="C23" i="6"/>
  <c r="F23" i="6" s="1"/>
  <c r="H23" i="6" s="1"/>
  <c r="L22" i="6"/>
  <c r="F22" i="6"/>
  <c r="C22" i="6"/>
  <c r="F21" i="6"/>
  <c r="C21" i="6"/>
  <c r="L20" i="6"/>
  <c r="C20" i="6"/>
  <c r="F20" i="6" s="1"/>
  <c r="H20" i="6" s="1"/>
  <c r="J20" i="6" s="1"/>
  <c r="C19" i="6"/>
  <c r="F19" i="6" s="1"/>
  <c r="F18" i="6"/>
  <c r="C18" i="6"/>
  <c r="L17" i="6"/>
  <c r="C17" i="6" s="1"/>
  <c r="F17" i="6" s="1"/>
  <c r="H17" i="6" s="1"/>
  <c r="J17" i="6"/>
  <c r="C16" i="6"/>
  <c r="F16" i="6" s="1"/>
  <c r="L15" i="6"/>
  <c r="C15" i="6" s="1"/>
  <c r="F15" i="6"/>
  <c r="L14" i="6"/>
  <c r="F14" i="6"/>
  <c r="C14" i="6"/>
  <c r="C13" i="6"/>
  <c r="F13" i="6" s="1"/>
  <c r="F12" i="6"/>
  <c r="C12" i="6"/>
  <c r="H11" i="6"/>
  <c r="F11" i="6"/>
  <c r="C11" i="6"/>
  <c r="L10" i="6"/>
  <c r="C10" i="6" s="1"/>
  <c r="F10" i="6" s="1"/>
  <c r="C9" i="6"/>
  <c r="F9" i="6" s="1"/>
  <c r="F8" i="6"/>
  <c r="H8" i="6" s="1"/>
  <c r="C8" i="6"/>
  <c r="L7" i="6"/>
  <c r="C7" i="6"/>
  <c r="F7" i="6" s="1"/>
  <c r="H7" i="6" s="1"/>
  <c r="J6" i="6"/>
  <c r="C6" i="6"/>
  <c r="F6" i="6" s="1"/>
  <c r="H6" i="6" s="1"/>
  <c r="G64" i="2"/>
  <c r="G63" i="2"/>
  <c r="G61" i="2"/>
  <c r="G65" i="2" s="1"/>
  <c r="J60" i="2"/>
  <c r="C60" i="2"/>
  <c r="F60" i="2" s="1"/>
  <c r="H60" i="2" s="1"/>
  <c r="C59" i="2"/>
  <c r="F59" i="2" s="1"/>
  <c r="L58" i="2"/>
  <c r="C58" i="2"/>
  <c r="F58" i="2" s="1"/>
  <c r="L57" i="2"/>
  <c r="C57" i="2" s="1"/>
  <c r="F57" i="2" s="1"/>
  <c r="J57" i="2" s="1"/>
  <c r="H57" i="2"/>
  <c r="L56" i="2"/>
  <c r="C56" i="2" s="1"/>
  <c r="F56" i="2"/>
  <c r="H56" i="2" s="1"/>
  <c r="L55" i="2"/>
  <c r="C55" i="2"/>
  <c r="F55" i="2" s="1"/>
  <c r="L54" i="2"/>
  <c r="C54" i="2" s="1"/>
  <c r="F54" i="2"/>
  <c r="H54" i="2" s="1"/>
  <c r="L53" i="2"/>
  <c r="C53" i="2" s="1"/>
  <c r="F53" i="2" s="1"/>
  <c r="L52" i="2"/>
  <c r="C52" i="2" s="1"/>
  <c r="F52" i="2" s="1"/>
  <c r="L51" i="2"/>
  <c r="C51" i="2"/>
  <c r="F51" i="2" s="1"/>
  <c r="L50" i="2"/>
  <c r="C50" i="2"/>
  <c r="F50" i="2" s="1"/>
  <c r="L49" i="2"/>
  <c r="C49" i="2"/>
  <c r="F49" i="2" s="1"/>
  <c r="L48" i="2"/>
  <c r="C48" i="2"/>
  <c r="F48" i="2" s="1"/>
  <c r="L47" i="2"/>
  <c r="C47" i="2" s="1"/>
  <c r="F47" i="2"/>
  <c r="L46" i="2"/>
  <c r="C46" i="2"/>
  <c r="F46" i="2" s="1"/>
  <c r="L45" i="2"/>
  <c r="C45" i="2" s="1"/>
  <c r="F45" i="2" s="1"/>
  <c r="H45" i="2"/>
  <c r="J45" i="2" s="1"/>
  <c r="L44" i="2"/>
  <c r="C44" i="2"/>
  <c r="F44" i="2" s="1"/>
  <c r="H44" i="2" s="1"/>
  <c r="L43" i="2"/>
  <c r="C43" i="2" s="1"/>
  <c r="F43" i="2" s="1"/>
  <c r="H43" i="2" s="1"/>
  <c r="J43" i="2"/>
  <c r="L42" i="2"/>
  <c r="C42" i="2" s="1"/>
  <c r="F42" i="2" s="1"/>
  <c r="H42" i="2" s="1"/>
  <c r="L41" i="2"/>
  <c r="C41" i="2"/>
  <c r="F41" i="2" s="1"/>
  <c r="L40" i="2"/>
  <c r="C40" i="2" s="1"/>
  <c r="F40" i="2" s="1"/>
  <c r="H40" i="2" s="1"/>
  <c r="L39" i="2"/>
  <c r="C39" i="2" s="1"/>
  <c r="F39" i="2"/>
  <c r="L38" i="2"/>
  <c r="C38" i="2"/>
  <c r="F38" i="2" s="1"/>
  <c r="L37" i="2"/>
  <c r="C37" i="2"/>
  <c r="F37" i="2" s="1"/>
  <c r="L36" i="2"/>
  <c r="C36" i="2"/>
  <c r="F36" i="2" s="1"/>
  <c r="L35" i="2"/>
  <c r="C35" i="2"/>
  <c r="F35" i="2" s="1"/>
  <c r="L34" i="2"/>
  <c r="C34" i="2" s="1"/>
  <c r="F34" i="2"/>
  <c r="H33" i="2"/>
  <c r="J33" i="2" s="1"/>
  <c r="F33" i="2"/>
  <c r="C33" i="2"/>
  <c r="L32" i="2"/>
  <c r="F32" i="2"/>
  <c r="C32" i="2"/>
  <c r="L31" i="2"/>
  <c r="C31" i="2"/>
  <c r="F31" i="2" s="1"/>
  <c r="L30" i="2"/>
  <c r="C30" i="2" s="1"/>
  <c r="F30" i="2" s="1"/>
  <c r="L29" i="2"/>
  <c r="C29" i="2"/>
  <c r="F29" i="2" s="1"/>
  <c r="H29" i="2" s="1"/>
  <c r="L28" i="2"/>
  <c r="C28" i="2" s="1"/>
  <c r="F28" i="2"/>
  <c r="H28" i="2" s="1"/>
  <c r="L27" i="2"/>
  <c r="C27" i="2" s="1"/>
  <c r="F27" i="2" s="1"/>
  <c r="H27" i="2" s="1"/>
  <c r="J27" i="2"/>
  <c r="L26" i="2"/>
  <c r="C26" i="2"/>
  <c r="F26" i="2" s="1"/>
  <c r="L25" i="2"/>
  <c r="C25" i="2"/>
  <c r="F25" i="2" s="1"/>
  <c r="L24" i="2"/>
  <c r="C24" i="2" s="1"/>
  <c r="F24" i="2" s="1"/>
  <c r="H24" i="2" s="1"/>
  <c r="J24" i="2"/>
  <c r="F23" i="2"/>
  <c r="H23" i="2" s="1"/>
  <c r="C23" i="2"/>
  <c r="L22" i="2"/>
  <c r="C22" i="2"/>
  <c r="F22" i="2" s="1"/>
  <c r="L21" i="2"/>
  <c r="C21" i="2" s="1"/>
  <c r="F21" i="2"/>
  <c r="L20" i="2"/>
  <c r="C20" i="2" s="1"/>
  <c r="F20" i="2" s="1"/>
  <c r="L19" i="2"/>
  <c r="C19" i="2" s="1"/>
  <c r="F19" i="2"/>
  <c r="L18" i="2"/>
  <c r="C18" i="2"/>
  <c r="F18" i="2" s="1"/>
  <c r="H18" i="2" s="1"/>
  <c r="L17" i="2"/>
  <c r="C17" i="2" s="1"/>
  <c r="F17" i="2" s="1"/>
  <c r="H17" i="2" s="1"/>
  <c r="J17" i="2"/>
  <c r="L16" i="2"/>
  <c r="C16" i="2"/>
  <c r="F16" i="2" s="1"/>
  <c r="H16" i="2" s="1"/>
  <c r="L15" i="2"/>
  <c r="C15" i="2"/>
  <c r="F15" i="2" s="1"/>
  <c r="L14" i="2"/>
  <c r="C14" i="2" s="1"/>
  <c r="F14" i="2" s="1"/>
  <c r="L13" i="2"/>
  <c r="C13" i="2"/>
  <c r="F13" i="2" s="1"/>
  <c r="H13" i="2" s="1"/>
  <c r="L12" i="2"/>
  <c r="C12" i="2"/>
  <c r="F12" i="2" s="1"/>
  <c r="J11" i="2"/>
  <c r="H11" i="2"/>
  <c r="F11" i="2"/>
  <c r="C11" i="2"/>
  <c r="L10" i="2"/>
  <c r="C10" i="2"/>
  <c r="F10" i="2" s="1"/>
  <c r="L9" i="2"/>
  <c r="C9" i="2"/>
  <c r="F9" i="2" s="1"/>
  <c r="L8" i="2"/>
  <c r="C8" i="2" s="1"/>
  <c r="F8" i="2"/>
  <c r="H8" i="2" s="1"/>
  <c r="L7" i="2"/>
  <c r="C7" i="2"/>
  <c r="F7" i="2" s="1"/>
  <c r="H6" i="2"/>
  <c r="F6" i="2"/>
  <c r="J6" i="2" s="1"/>
  <c r="C6" i="2"/>
  <c r="J49" i="1"/>
  <c r="F46" i="1"/>
  <c r="G43" i="1"/>
  <c r="E43" i="1"/>
  <c r="C42" i="1"/>
  <c r="F42" i="1" s="1"/>
  <c r="L41" i="1"/>
  <c r="C41" i="1" s="1"/>
  <c r="F41" i="1" s="1"/>
  <c r="H41" i="1"/>
  <c r="L40" i="1"/>
  <c r="C40" i="1"/>
  <c r="F40" i="1" s="1"/>
  <c r="L39" i="1"/>
  <c r="C39" i="1" s="1"/>
  <c r="F39" i="1" s="1"/>
  <c r="H39" i="1"/>
  <c r="J39" i="1" s="1"/>
  <c r="L38" i="1"/>
  <c r="C38" i="1" s="1"/>
  <c r="F38" i="1" s="1"/>
  <c r="L37" i="1"/>
  <c r="C37" i="1"/>
  <c r="F37" i="1" s="1"/>
  <c r="L36" i="1"/>
  <c r="F36" i="1"/>
  <c r="H36" i="1" s="1"/>
  <c r="C36" i="1"/>
  <c r="L35" i="1"/>
  <c r="C35" i="1" s="1"/>
  <c r="F35" i="1" s="1"/>
  <c r="H35" i="1" s="1"/>
  <c r="J35" i="1"/>
  <c r="L34" i="1"/>
  <c r="C34" i="1" s="1"/>
  <c r="F34" i="1"/>
  <c r="H34" i="1" s="1"/>
  <c r="L33" i="1"/>
  <c r="C33" i="1"/>
  <c r="F33" i="1" s="1"/>
  <c r="J32" i="1"/>
  <c r="H32" i="1"/>
  <c r="F32" i="1"/>
  <c r="C32" i="1"/>
  <c r="F31" i="1"/>
  <c r="J31" i="1" s="1"/>
  <c r="C31" i="1"/>
  <c r="L30" i="1"/>
  <c r="C30" i="1"/>
  <c r="F30" i="1" s="1"/>
  <c r="L29" i="1"/>
  <c r="C29" i="1" s="1"/>
  <c r="F29" i="1" s="1"/>
  <c r="L28" i="1"/>
  <c r="C28" i="1" s="1"/>
  <c r="F28" i="1" s="1"/>
  <c r="L27" i="1"/>
  <c r="C27" i="1"/>
  <c r="F27" i="1" s="1"/>
  <c r="L26" i="1"/>
  <c r="J26" i="1"/>
  <c r="H26" i="1"/>
  <c r="F26" i="1"/>
  <c r="C26" i="1"/>
  <c r="L25" i="1"/>
  <c r="C25" i="1"/>
  <c r="F25" i="1" s="1"/>
  <c r="L24" i="1"/>
  <c r="C24" i="1"/>
  <c r="F24" i="1" s="1"/>
  <c r="L23" i="1"/>
  <c r="C23" i="1" s="1"/>
  <c r="F23" i="1" s="1"/>
  <c r="L22" i="1"/>
  <c r="C22" i="1" s="1"/>
  <c r="F22" i="1"/>
  <c r="H22" i="1" s="1"/>
  <c r="L21" i="1"/>
  <c r="C21" i="1"/>
  <c r="F21" i="1" s="1"/>
  <c r="L20" i="1"/>
  <c r="C20" i="1"/>
  <c r="F20" i="1" s="1"/>
  <c r="L19" i="1"/>
  <c r="C19" i="1"/>
  <c r="F19" i="1" s="1"/>
  <c r="L18" i="1"/>
  <c r="C18" i="1"/>
  <c r="F18" i="1" s="1"/>
  <c r="H18" i="1" s="1"/>
  <c r="L17" i="1"/>
  <c r="C17" i="1"/>
  <c r="F17" i="1" s="1"/>
  <c r="L16" i="1"/>
  <c r="C16" i="1"/>
  <c r="F16" i="1" s="1"/>
  <c r="L15" i="1"/>
  <c r="C15" i="1" s="1"/>
  <c r="F15" i="1"/>
  <c r="L14" i="1"/>
  <c r="C14" i="1" s="1"/>
  <c r="F14" i="1" s="1"/>
  <c r="L13" i="1"/>
  <c r="C13" i="1"/>
  <c r="F13" i="1" s="1"/>
  <c r="L12" i="1"/>
  <c r="C12" i="1"/>
  <c r="F12" i="1" s="1"/>
  <c r="L11" i="1"/>
  <c r="C11" i="1" s="1"/>
  <c r="F11" i="1" s="1"/>
  <c r="L10" i="1"/>
  <c r="C10" i="1"/>
  <c r="F10" i="1" s="1"/>
  <c r="L9" i="1"/>
  <c r="C9" i="1" s="1"/>
  <c r="F9" i="1" s="1"/>
  <c r="H9" i="1"/>
  <c r="J9" i="1" s="1"/>
  <c r="L8" i="1"/>
  <c r="C8" i="1"/>
  <c r="F8" i="1" s="1"/>
  <c r="L7" i="1"/>
  <c r="C7" i="1"/>
  <c r="F7" i="1" s="1"/>
  <c r="L6" i="1"/>
  <c r="C6" i="1" s="1"/>
  <c r="F6" i="1" s="1"/>
  <c r="H7" i="9" l="1"/>
  <c r="J7" i="9"/>
  <c r="H18" i="9"/>
  <c r="L18" i="9" s="1"/>
  <c r="J18" i="9"/>
  <c r="H22" i="9"/>
  <c r="H6" i="9"/>
  <c r="L6" i="9" s="1"/>
  <c r="H26" i="9"/>
  <c r="L26" i="9" s="1"/>
  <c r="H14" i="9"/>
  <c r="L14" i="9" s="1"/>
  <c r="L7" i="9"/>
  <c r="H12" i="1"/>
  <c r="J12" i="1" s="1"/>
  <c r="H21" i="1"/>
  <c r="J21" i="1"/>
  <c r="H38" i="1"/>
  <c r="J38" i="1"/>
  <c r="H19" i="1"/>
  <c r="J19" i="1" s="1"/>
  <c r="H40" i="1"/>
  <c r="J40" i="1" s="1"/>
  <c r="H30" i="6"/>
  <c r="J30" i="6" s="1"/>
  <c r="J36" i="6"/>
  <c r="H36" i="6"/>
  <c r="H30" i="1"/>
  <c r="J30" i="1"/>
  <c r="H37" i="2"/>
  <c r="J37" i="2"/>
  <c r="H67" i="6"/>
  <c r="J67" i="6" s="1"/>
  <c r="J14" i="1"/>
  <c r="H14" i="1"/>
  <c r="H15" i="7"/>
  <c r="J15" i="7" s="1"/>
  <c r="J41" i="1"/>
  <c r="H20" i="2"/>
  <c r="J20" i="2" s="1"/>
  <c r="J18" i="6"/>
  <c r="H32" i="7"/>
  <c r="J32" i="7" s="1"/>
  <c r="J54" i="7"/>
  <c r="H54" i="7"/>
  <c r="H42" i="1"/>
  <c r="J42" i="1" s="1"/>
  <c r="H14" i="2"/>
  <c r="J14" i="2" s="1"/>
  <c r="H51" i="2"/>
  <c r="J51" i="2" s="1"/>
  <c r="J19" i="6"/>
  <c r="H19" i="6"/>
  <c r="H43" i="6"/>
  <c r="J43" i="6"/>
  <c r="J57" i="6"/>
  <c r="H69" i="6"/>
  <c r="J69" i="6" s="1"/>
  <c r="J16" i="1"/>
  <c r="H16" i="1"/>
  <c r="J15" i="2"/>
  <c r="H15" i="2"/>
  <c r="H13" i="6"/>
  <c r="J13" i="6" s="1"/>
  <c r="H25" i="6"/>
  <c r="J25" i="6" s="1"/>
  <c r="H50" i="6"/>
  <c r="J50" i="6" s="1"/>
  <c r="H70" i="6"/>
  <c r="J70" i="6" s="1"/>
  <c r="H29" i="7"/>
  <c r="J29" i="7" s="1"/>
  <c r="J37" i="1"/>
  <c r="H37" i="1"/>
  <c r="H10" i="2"/>
  <c r="J10" i="2" s="1"/>
  <c r="H22" i="2"/>
  <c r="J22" i="2" s="1"/>
  <c r="H46" i="2"/>
  <c r="J46" i="2" s="1"/>
  <c r="J52" i="2"/>
  <c r="H52" i="2"/>
  <c r="H59" i="2"/>
  <c r="J59" i="2" s="1"/>
  <c r="H33" i="6"/>
  <c r="J33" i="6" s="1"/>
  <c r="H71" i="6"/>
  <c r="J71" i="6" s="1"/>
  <c r="J51" i="7"/>
  <c r="H51" i="7"/>
  <c r="H27" i="1"/>
  <c r="J27" i="1" s="1"/>
  <c r="H53" i="2"/>
  <c r="J53" i="2" s="1"/>
  <c r="H26" i="6"/>
  <c r="J26" i="6"/>
  <c r="H25" i="1"/>
  <c r="J25" i="1"/>
  <c r="J25" i="2"/>
  <c r="H25" i="2"/>
  <c r="H50" i="2"/>
  <c r="J50" i="2"/>
  <c r="H38" i="2"/>
  <c r="J38" i="2" s="1"/>
  <c r="H64" i="6"/>
  <c r="J64" i="6"/>
  <c r="H9" i="2"/>
  <c r="J9" i="2"/>
  <c r="H11" i="1"/>
  <c r="J11" i="1"/>
  <c r="J40" i="2"/>
  <c r="J21" i="6"/>
  <c r="H39" i="6"/>
  <c r="J39" i="6" s="1"/>
  <c r="J9" i="7"/>
  <c r="H47" i="7"/>
  <c r="J47" i="7"/>
  <c r="J13" i="1"/>
  <c r="H7" i="2"/>
  <c r="J7" i="2" s="1"/>
  <c r="H8" i="1"/>
  <c r="J8" i="1"/>
  <c r="H43" i="7"/>
  <c r="J43" i="7" s="1"/>
  <c r="H7" i="7"/>
  <c r="J7" i="7" s="1"/>
  <c r="H23" i="1"/>
  <c r="J23" i="1"/>
  <c r="H28" i="1"/>
  <c r="J28" i="1" s="1"/>
  <c r="H35" i="2"/>
  <c r="J35" i="2"/>
  <c r="H53" i="6"/>
  <c r="J53" i="6" s="1"/>
  <c r="H40" i="7"/>
  <c r="J40" i="7" s="1"/>
  <c r="H29" i="1"/>
  <c r="J29" i="1" s="1"/>
  <c r="H30" i="2"/>
  <c r="J30" i="2"/>
  <c r="H48" i="2"/>
  <c r="J48" i="2"/>
  <c r="H55" i="2"/>
  <c r="J55" i="2"/>
  <c r="J22" i="6"/>
  <c r="H22" i="6"/>
  <c r="H12" i="2"/>
  <c r="J12" i="2" s="1"/>
  <c r="H14" i="7"/>
  <c r="J14" i="7" s="1"/>
  <c r="J20" i="1"/>
  <c r="J15" i="1"/>
  <c r="H15" i="1"/>
  <c r="J42" i="6"/>
  <c r="H42" i="6"/>
  <c r="J18" i="1"/>
  <c r="H33" i="1"/>
  <c r="J33" i="1"/>
  <c r="H41" i="2"/>
  <c r="J41" i="2" s="1"/>
  <c r="H15" i="6"/>
  <c r="J15" i="6"/>
  <c r="H61" i="6"/>
  <c r="J61" i="6" s="1"/>
  <c r="H6" i="1"/>
  <c r="J6" i="1" s="1"/>
  <c r="H24" i="1"/>
  <c r="J24" i="1"/>
  <c r="H7" i="1"/>
  <c r="J7" i="1" s="1"/>
  <c r="H31" i="2"/>
  <c r="J31" i="2"/>
  <c r="H36" i="2"/>
  <c r="J36" i="2" s="1"/>
  <c r="J10" i="6"/>
  <c r="H10" i="6"/>
  <c r="H16" i="6"/>
  <c r="J16" i="6" s="1"/>
  <c r="H29" i="6"/>
  <c r="J29" i="6"/>
  <c r="H47" i="6"/>
  <c r="J47" i="6" s="1"/>
  <c r="H36" i="7"/>
  <c r="J36" i="7" s="1"/>
  <c r="G62" i="2"/>
  <c r="H60" i="6"/>
  <c r="J58" i="2"/>
  <c r="J8" i="6"/>
  <c r="J72" i="6"/>
  <c r="H37" i="7"/>
  <c r="J37" i="7" s="1"/>
  <c r="J52" i="7"/>
  <c r="H52" i="7"/>
  <c r="J27" i="9"/>
  <c r="H27" i="9"/>
  <c r="J28" i="2"/>
  <c r="H58" i="2"/>
  <c r="H13" i="1"/>
  <c r="H9" i="6"/>
  <c r="J9" i="6" s="1"/>
  <c r="J28" i="6"/>
  <c r="H28" i="6"/>
  <c r="H34" i="7"/>
  <c r="J34" i="7"/>
  <c r="J28" i="9"/>
  <c r="H28" i="9"/>
  <c r="L28" i="9" s="1"/>
  <c r="H19" i="2"/>
  <c r="J19" i="2" s="1"/>
  <c r="J26" i="2"/>
  <c r="G56" i="7"/>
  <c r="H16" i="7"/>
  <c r="J16" i="7" s="1"/>
  <c r="J27" i="7"/>
  <c r="J9" i="9"/>
  <c r="H9" i="9"/>
  <c r="L9" i="9" s="1"/>
  <c r="J22" i="1"/>
  <c r="J34" i="1"/>
  <c r="J13" i="2"/>
  <c r="J16" i="2"/>
  <c r="H26" i="2"/>
  <c r="J29" i="2"/>
  <c r="H32" i="2"/>
  <c r="J32" i="2" s="1"/>
  <c r="J44" i="6"/>
  <c r="H57" i="6"/>
  <c r="H9" i="7"/>
  <c r="H20" i="7"/>
  <c r="J20" i="7" s="1"/>
  <c r="J39" i="7"/>
  <c r="H45" i="7"/>
  <c r="J45" i="7" s="1"/>
  <c r="H17" i="9"/>
  <c r="L17" i="9" s="1"/>
  <c r="J20" i="9"/>
  <c r="H20" i="9"/>
  <c r="L20" i="9" s="1"/>
  <c r="H21" i="2"/>
  <c r="J21" i="2" s="1"/>
  <c r="H47" i="2"/>
  <c r="J47" i="2" s="1"/>
  <c r="J34" i="2"/>
  <c r="H34" i="2"/>
  <c r="H55" i="6"/>
  <c r="J55" i="6" s="1"/>
  <c r="H75" i="6"/>
  <c r="J75" i="6" s="1"/>
  <c r="J23" i="9"/>
  <c r="H23" i="9"/>
  <c r="L23" i="9" s="1"/>
  <c r="J18" i="2"/>
  <c r="J44" i="2"/>
  <c r="J19" i="9"/>
  <c r="H19" i="9"/>
  <c r="L19" i="9" s="1"/>
  <c r="J23" i="6"/>
  <c r="J16" i="9"/>
  <c r="H16" i="9"/>
  <c r="J32" i="6"/>
  <c r="J56" i="6"/>
  <c r="H40" i="6"/>
  <c r="J40" i="6"/>
  <c r="H62" i="6"/>
  <c r="J62" i="6" s="1"/>
  <c r="J13" i="9"/>
  <c r="H13" i="9"/>
  <c r="J36" i="1"/>
  <c r="H12" i="6"/>
  <c r="J12" i="6" s="1"/>
  <c r="J17" i="1"/>
  <c r="H31" i="1"/>
  <c r="H39" i="2"/>
  <c r="J39" i="2" s="1"/>
  <c r="H49" i="2"/>
  <c r="J49" i="2" s="1"/>
  <c r="J56" i="2"/>
  <c r="H14" i="6"/>
  <c r="J14" i="6" s="1"/>
  <c r="H21" i="6"/>
  <c r="H24" i="7"/>
  <c r="J24" i="7"/>
  <c r="H53" i="7"/>
  <c r="J53" i="7" s="1"/>
  <c r="J15" i="9"/>
  <c r="H15" i="9"/>
  <c r="L15" i="9" s="1"/>
  <c r="H10" i="1"/>
  <c r="J10" i="1" s="1"/>
  <c r="J42" i="2"/>
  <c r="H20" i="1"/>
  <c r="H17" i="1"/>
  <c r="J8" i="2"/>
  <c r="J23" i="2"/>
  <c r="J7" i="6"/>
  <c r="H18" i="6"/>
  <c r="H49" i="6"/>
  <c r="J58" i="6"/>
  <c r="J31" i="7"/>
  <c r="H31" i="7"/>
  <c r="F46" i="7"/>
  <c r="J54" i="2"/>
  <c r="J26" i="7"/>
  <c r="H27" i="6"/>
  <c r="J27" i="6" s="1"/>
  <c r="H12" i="9"/>
  <c r="L12" i="9" s="1"/>
  <c r="J24" i="9"/>
  <c r="H24" i="9"/>
  <c r="L24" i="9" s="1"/>
  <c r="H34" i="6"/>
  <c r="J34" i="6"/>
  <c r="J54" i="6"/>
  <c r="J74" i="6"/>
  <c r="H25" i="7"/>
  <c r="J25" i="7" s="1"/>
  <c r="H41" i="7"/>
  <c r="J41" i="7" s="1"/>
  <c r="J68" i="6"/>
  <c r="J44" i="7"/>
  <c r="J10" i="9"/>
  <c r="H10" i="9"/>
  <c r="J37" i="6"/>
  <c r="H68" i="6"/>
  <c r="J6" i="7"/>
  <c r="J33" i="7"/>
  <c r="H44" i="7"/>
  <c r="J21" i="9"/>
  <c r="H21" i="9"/>
  <c r="L21" i="9" s="1"/>
  <c r="J25" i="9"/>
  <c r="H25" i="9"/>
  <c r="H29" i="9"/>
  <c r="L29" i="9" s="1"/>
  <c r="J11" i="6"/>
  <c r="J45" i="6"/>
  <c r="H45" i="6"/>
  <c r="C10" i="7"/>
  <c r="F10" i="7" s="1"/>
  <c r="G57" i="7"/>
  <c r="J11" i="9"/>
  <c r="H11" i="9"/>
  <c r="L11" i="9" s="1"/>
  <c r="J22" i="9"/>
  <c r="L22" i="9" s="1"/>
  <c r="J13" i="7"/>
  <c r="J55" i="7"/>
  <c r="H55" i="7"/>
  <c r="J8" i="9"/>
  <c r="H8" i="9"/>
  <c r="G58" i="7"/>
  <c r="L10" i="9" l="1"/>
  <c r="L25" i="9"/>
  <c r="J63" i="2"/>
  <c r="J61" i="2"/>
  <c r="J62" i="2" s="1"/>
  <c r="J44" i="1"/>
  <c r="J45" i="1" s="1"/>
  <c r="J43" i="1"/>
  <c r="J77" i="6"/>
  <c r="L13" i="9"/>
  <c r="L16" i="9"/>
  <c r="L8" i="9"/>
  <c r="L27" i="9"/>
  <c r="J76" i="6"/>
  <c r="H10" i="7"/>
  <c r="J10" i="7" s="1"/>
  <c r="H46" i="7"/>
  <c r="J46" i="7" s="1"/>
  <c r="J78" i="6"/>
  <c r="I57" i="7" l="1"/>
  <c r="I56" i="7"/>
  <c r="I58" i="7"/>
  <c r="I59" i="7" s="1"/>
</calcChain>
</file>

<file path=xl/sharedStrings.xml><?xml version="1.0" encoding="utf-8"?>
<sst xmlns="http://schemas.openxmlformats.org/spreadsheetml/2006/main" count="526" uniqueCount="274">
  <si>
    <t>BIOLOGIA 1º ANO</t>
  </si>
  <si>
    <t>MATEMÁTICA GERAL</t>
  </si>
  <si>
    <t>AVALIAÇÕES CONTÍNUAS</t>
  </si>
  <si>
    <t>Trabalhos</t>
  </si>
  <si>
    <t>Nº</t>
  </si>
  <si>
    <t>NOME</t>
  </si>
  <si>
    <t>MOA</t>
  </si>
  <si>
    <t>1ªP</t>
  </si>
  <si>
    <t>2ªP</t>
  </si>
  <si>
    <t>MAC</t>
  </si>
  <si>
    <t>Exame</t>
  </si>
  <si>
    <t>N. Final</t>
  </si>
  <si>
    <t>Recurso</t>
  </si>
  <si>
    <t>OBSERVAÇÃO</t>
  </si>
  <si>
    <t>Alexandre Lihondjeny Cachicote Guli</t>
  </si>
  <si>
    <t>F</t>
  </si>
  <si>
    <t>Ana Elesso Sunguanga</t>
  </si>
  <si>
    <t>Ana Nangali Pacheco</t>
  </si>
  <si>
    <t>Angelina Lussati Malamba</t>
  </si>
  <si>
    <t>António Constantino da Silva</t>
  </si>
  <si>
    <t>António Lino Jessé</t>
  </si>
  <si>
    <t>Celestino junga José Manuel</t>
  </si>
  <si>
    <t>Celma Maria Ukwahamba</t>
  </si>
  <si>
    <t>Cimilda Domingas Zeferino Paulino</t>
  </si>
  <si>
    <t>Cristina Tyova</t>
  </si>
  <si>
    <t>Dadinha Julieta Pedro Barbosa</t>
  </si>
  <si>
    <t>Delfina Câmia Tchoia</t>
  </si>
  <si>
    <t>Domingas Sara Daniel Bacia</t>
  </si>
  <si>
    <t>Eduarda Manuela António Vicente</t>
  </si>
  <si>
    <t>Eunice Maria Java Marques</t>
  </si>
  <si>
    <t>Florença Chateia Artur Celestino</t>
  </si>
  <si>
    <t>Frederico Dongua Tyimuku Sabonete</t>
  </si>
  <si>
    <t>Glória Dinayame Makengo Victor</t>
  </si>
  <si>
    <t>Helena Ngueve Ndjimba</t>
  </si>
  <si>
    <t>Hilaria Francisco Kambale</t>
  </si>
  <si>
    <t>Ideia Albertina Frederico Diamona</t>
  </si>
  <si>
    <t>Júlia Bendi Sapalalo Tyihongo</t>
  </si>
  <si>
    <t>Jurema de Fátima Neto Segundo</t>
  </si>
  <si>
    <t>Koji Benoit Ipungo Pacheco</t>
  </si>
  <si>
    <t>Laurinda Natalia Tchikuikui Tome</t>
  </si>
  <si>
    <t>Maria Germana Matias David</t>
  </si>
  <si>
    <t>Maria Madalena Sousa Bapalo</t>
  </si>
  <si>
    <t>Maria Rosalina Pires Boa-Morte</t>
  </si>
  <si>
    <t>Mateus Camosso Jeque</t>
  </si>
  <si>
    <t>Miquelina Lumbo Chandicua Tyiyovo</t>
  </si>
  <si>
    <t>Noelma Jovati Mucanda</t>
  </si>
  <si>
    <t>Paulina Sapi Mario Hossi</t>
  </si>
  <si>
    <t>Rita C C Chiangalala</t>
  </si>
  <si>
    <t>Rosa Maria Joaquim</t>
  </si>
  <si>
    <t>Rosa Navio António</t>
  </si>
  <si>
    <t>Rosária Ussova Tchinendele</t>
  </si>
  <si>
    <t>Yolanda Joana Kahamba Braz</t>
  </si>
  <si>
    <t>Avalia</t>
  </si>
  <si>
    <t>Reprov</t>
  </si>
  <si>
    <t>O Docente:______________________________________</t>
  </si>
  <si>
    <t>RECURSO</t>
  </si>
  <si>
    <t>Aprovados</t>
  </si>
  <si>
    <t>Moçâmedes aos  _____/_____/2025</t>
  </si>
  <si>
    <t>Estudantes que não constam no sistema</t>
  </si>
  <si>
    <t>GEOGRAFIA 1º ANO</t>
  </si>
  <si>
    <t>Adilson João</t>
  </si>
  <si>
    <t>P</t>
  </si>
  <si>
    <t>Albano Kahonjo Ndjala Daniel</t>
  </si>
  <si>
    <t>Alexandrina Katoma Fernando Pascual</t>
  </si>
  <si>
    <t>Alfredo Djave Nguli Sawandi</t>
  </si>
  <si>
    <t>Ana Bela Bambi Dos Santos</t>
  </si>
  <si>
    <t>Ana Maria Calola José</t>
  </si>
  <si>
    <t>Angelina Jauca Tchipalanga Tchipa</t>
  </si>
  <si>
    <t>Angelina Mande Marcia Rosquete</t>
  </si>
  <si>
    <t>Angelino Tch. K. Bacia</t>
  </si>
  <si>
    <t>António Guilherme Feliciano</t>
  </si>
  <si>
    <t>Antonio Lobito Muteca Manuel</t>
  </si>
  <si>
    <t>Baptista Munhona Tchiyoca</t>
  </si>
  <si>
    <t>Belarmino Zala</t>
  </si>
  <si>
    <t>Beliana Matilde Pedro Bernardo</t>
  </si>
  <si>
    <t>Bernarda Tchilivonda Muhona Kanacawa</t>
  </si>
  <si>
    <t>Carolina Chicoti Kuyela</t>
  </si>
  <si>
    <t>Cecilia Hangale António Cassinda</t>
  </si>
  <si>
    <t>Celeste Catumbo Gabiel</t>
  </si>
  <si>
    <t>DICKSON DA CONCEIÇÃO ANDRÉ MAIOMONA</t>
  </si>
  <si>
    <t>Domingos Kulivela Nunda</t>
  </si>
  <si>
    <t>Engracia José Francisco</t>
  </si>
  <si>
    <t>Esperança da Glória Cafuile</t>
  </si>
  <si>
    <t>Fernando Nahenda Jamba Adriano</t>
  </si>
  <si>
    <t>Filomena Filipe Kopondola Ernesto Simão</t>
  </si>
  <si>
    <t>Florinda Depeta Cachaca João</t>
  </si>
  <si>
    <t>Francinete Elizabeth Manuel</t>
  </si>
  <si>
    <t>Francisco Dinis Chivangulula Cinco Reis</t>
  </si>
  <si>
    <t>Gabriel António Sabino</t>
  </si>
  <si>
    <t>Hilaria Kandeia Tchindembele Malongo</t>
  </si>
  <si>
    <t>Jacob Afonso Carlos Havicuity</t>
  </si>
  <si>
    <t>Januario Cavava Julião</t>
  </si>
  <si>
    <t>João Baptista Sapalalo Calembela</t>
  </si>
  <si>
    <t>João Paciência Muhepa Canduco</t>
  </si>
  <si>
    <t>João Pires Kaliqui</t>
  </si>
  <si>
    <t>Josefa Ndjauca Tchihongo Neto</t>
  </si>
  <si>
    <t>Júlio Manuel Garcia Sofia</t>
  </si>
  <si>
    <t>Justina Candjala</t>
  </si>
  <si>
    <t>Lúcia Mbimbi Gregório</t>
  </si>
  <si>
    <t>Luisa Navitele Xavier Kapuca</t>
  </si>
  <si>
    <t>Magnora Leocádia Carlos Fina</t>
  </si>
  <si>
    <t>Marcelina Tchipembe</t>
  </si>
  <si>
    <t>Maria Carla S. Domingos</t>
  </si>
  <si>
    <t>Mariana Caombe Vitó Paulo</t>
  </si>
  <si>
    <t>Miguel Agustinho Tchitongo Dungula</t>
  </si>
  <si>
    <t>Miguel Mussolovela Tiago Zacarias</t>
  </si>
  <si>
    <t>Nilda Joaquim Pequenino Mpiangundo</t>
  </si>
  <si>
    <t>PAULO AUGUSTO PESSELA CÂNDIDO</t>
  </si>
  <si>
    <t>Pedro Teodoro António</t>
  </si>
  <si>
    <t>Portácio Bernabé Dala</t>
  </si>
  <si>
    <t>Selma Cassinda Tchiteni</t>
  </si>
  <si>
    <t>Sérgio Vaz Concelho Pitra</t>
  </si>
  <si>
    <t>Tchaviuca Pequenina Luzia Tchitongo</t>
  </si>
  <si>
    <t>Teresa Chivala Ungo</t>
  </si>
  <si>
    <t>Teresa Ndongua José Camamba</t>
  </si>
  <si>
    <t>Zacarias Chimuco</t>
  </si>
  <si>
    <t>Ausen</t>
  </si>
  <si>
    <t>REPRO</t>
  </si>
  <si>
    <t>Avaliados</t>
  </si>
  <si>
    <t>Positiva</t>
  </si>
  <si>
    <t>APROVADO</t>
  </si>
  <si>
    <t>Negativa</t>
  </si>
  <si>
    <t>Total</t>
  </si>
  <si>
    <t>Azinaida Ngalangi</t>
  </si>
  <si>
    <t>José Lucamba</t>
  </si>
  <si>
    <t>Melódica dos Santos</t>
  </si>
  <si>
    <t>Alberto Ramiro Francisco</t>
  </si>
  <si>
    <t>Agostinho Domingos Mussungo</t>
  </si>
  <si>
    <t>BIOLOGIA MARINHA 1º ANO REGULAR</t>
  </si>
  <si>
    <t>ANÁLISE MATEMÁTICA 1</t>
  </si>
  <si>
    <t>Adelina R. Satulo Salvador</t>
  </si>
  <si>
    <t>Agostinnho Daniel Ngongolo</t>
  </si>
  <si>
    <t>Ana Sicaleta</t>
  </si>
  <si>
    <t>Ana Aspirante</t>
  </si>
  <si>
    <t>Anselmo Filipe Carvalho Barros</t>
  </si>
  <si>
    <t>António Ndopa</t>
  </si>
  <si>
    <t>Augusto Samuel Joaquim</t>
  </si>
  <si>
    <t>Avelina Hospital</t>
  </si>
  <si>
    <t>Beatriz Vasco</t>
  </si>
  <si>
    <t>Bié Marmane Prata</t>
  </si>
  <si>
    <t>Cristina Norasco</t>
  </si>
  <si>
    <t>Daniel Galito</t>
  </si>
  <si>
    <t>Débora Benguela</t>
  </si>
  <si>
    <t>Delfina C. Henriques</t>
  </si>
  <si>
    <t>Denilsom Tchindemba</t>
  </si>
  <si>
    <t>Domiana José</t>
  </si>
  <si>
    <t>Domingos Nicolau</t>
  </si>
  <si>
    <t>Domingos Tchindemba</t>
  </si>
  <si>
    <t>Donana Kassamba</t>
  </si>
  <si>
    <t>Elisa Tch. Mateus</t>
  </si>
  <si>
    <t>Emília Mweliquemba</t>
  </si>
  <si>
    <t>Emília Hossi</t>
  </si>
  <si>
    <t>Ermelinda de Fátima Francisca Bráz</t>
  </si>
  <si>
    <t>Esmaela Katimba</t>
  </si>
  <si>
    <t>Esmeralda Manuel</t>
  </si>
  <si>
    <t>Ester Camundongo</t>
  </si>
  <si>
    <t>Fátima Ebulayakana</t>
  </si>
  <si>
    <t>Fernanda Lucas</t>
  </si>
  <si>
    <t>Fernando Nambaio</t>
  </si>
  <si>
    <t>Flora Soares</t>
  </si>
  <si>
    <t>Gabriel Roque Mutenha Coimbra</t>
  </si>
  <si>
    <t>Gabriela Marcos</t>
  </si>
  <si>
    <t>Glória Sofia Benvindo</t>
  </si>
  <si>
    <t>Higino A. Kandongui</t>
  </si>
  <si>
    <t>Isabel Francisco</t>
  </si>
  <si>
    <t>João Flai T. Tchindele</t>
  </si>
  <si>
    <t>Joaquim Calenga</t>
  </si>
  <si>
    <t>Josefa Victória Pedro Lucipa</t>
  </si>
  <si>
    <t>Josefina Chilombo Saluanda</t>
  </si>
  <si>
    <t>Julieta Severino Kachombe</t>
  </si>
  <si>
    <t>Laura Mariquinha Sanduro</t>
  </si>
  <si>
    <t>Lourdes Isaac</t>
  </si>
  <si>
    <t>Lucas Jorge  Tchicuamanga Sapalalo</t>
  </si>
  <si>
    <t>Marcela André</t>
  </si>
  <si>
    <t>Márcia E. Correia</t>
  </si>
  <si>
    <t>Margarida F. Tshiama</t>
  </si>
  <si>
    <t>Maria Cana</t>
  </si>
  <si>
    <t>Maria Gracieth Fernandes Feliciano</t>
  </si>
  <si>
    <t>Maria Luisa João Pongolola</t>
  </si>
  <si>
    <t>Marta Tchiyangula</t>
  </si>
  <si>
    <t>Mauricia Monteiro</t>
  </si>
  <si>
    <t>Mauro Massolali de Oliveira</t>
  </si>
  <si>
    <t>Miguel Silva</t>
  </si>
  <si>
    <t>Moisés Tchikale Zacarias</t>
  </si>
  <si>
    <t>Regina Epalanga</t>
  </si>
  <si>
    <t>Rosa Irene S. Sobrinho</t>
  </si>
  <si>
    <t>Rosalina Kandongui</t>
  </si>
  <si>
    <t>Sofia Nana Alexandre</t>
  </si>
  <si>
    <t>Suzana Jeremias</t>
  </si>
  <si>
    <t>Teresa Chilepa Dala</t>
  </si>
  <si>
    <t>Teresa B. Luciano</t>
  </si>
  <si>
    <t>Teresa Juliana Ukali Victorino</t>
  </si>
  <si>
    <t>Teresa Vatamba Henda</t>
  </si>
  <si>
    <t>Victor Dumba</t>
  </si>
  <si>
    <t>Victorina Wandi</t>
  </si>
  <si>
    <t>Xadriana César</t>
  </si>
  <si>
    <t>Zacarias Zacarias</t>
  </si>
  <si>
    <t>Positivas</t>
  </si>
  <si>
    <t>Reprovados</t>
  </si>
  <si>
    <t>AVALIADOS</t>
  </si>
  <si>
    <t>ANÁLISE MATEMÁTICA 2</t>
  </si>
  <si>
    <t>António Miapya Ndopa</t>
  </si>
  <si>
    <t>Clara Segunda Macuva</t>
  </si>
  <si>
    <t>Clenilda Paulina César Lenguela</t>
  </si>
  <si>
    <t>Isabel Corneiro</t>
  </si>
  <si>
    <t>José Máquina</t>
  </si>
  <si>
    <t>Luciria Gracinda Gaspar Miguel</t>
  </si>
  <si>
    <t>Madalena Paz Isabel Sabalo</t>
  </si>
  <si>
    <t>Maria de Fátima Cassinda Tchimbonde</t>
  </si>
  <si>
    <t>Maria Lúcia Januário Filipe</t>
  </si>
  <si>
    <t>Mariana Lussinga Domingos</t>
  </si>
  <si>
    <t>Stela Elsa da Silva Muacunda</t>
  </si>
  <si>
    <t>Tchinanga Genito Tchananga</t>
  </si>
  <si>
    <t>Tita Vandangongo Tchihondo</t>
  </si>
  <si>
    <t>Nº de AV</t>
  </si>
  <si>
    <t>Total Exame</t>
  </si>
  <si>
    <t>Negativas</t>
  </si>
  <si>
    <t>Total Rec</t>
  </si>
  <si>
    <t>Total Reprov</t>
  </si>
  <si>
    <t>Total Aprov</t>
  </si>
  <si>
    <t>Matemática 4º Ano</t>
  </si>
  <si>
    <t>Computadores no Ensino</t>
  </si>
  <si>
    <t>3ªP</t>
  </si>
  <si>
    <t>4ªP</t>
  </si>
  <si>
    <t>TB</t>
  </si>
  <si>
    <t>Trabalho</t>
  </si>
  <si>
    <t>Defesa</t>
  </si>
  <si>
    <t>(T+D)/2</t>
  </si>
  <si>
    <t>Prova Escrita</t>
  </si>
  <si>
    <t>Abel Nunda Samuel António</t>
  </si>
  <si>
    <t>Afonso Ventura Constantino Adriano</t>
  </si>
  <si>
    <t>António Francisco Tchapesseka Hacombo</t>
  </si>
  <si>
    <t>Artur Sawalei Sachimbundo</t>
  </si>
  <si>
    <t>Danilson Januário Muquindo Sumero</t>
  </si>
  <si>
    <t>Edson Madureira Prata António</t>
  </si>
  <si>
    <t>Ernesto Alberto João Sabonete</t>
  </si>
  <si>
    <t>Fátima Fute Matias Dungula</t>
  </si>
  <si>
    <t>Helena Junjun Chilingutila</t>
  </si>
  <si>
    <t>Hitchopitua Generoso Cassessa Pedro</t>
  </si>
  <si>
    <t>Igor Abel Tchitata Ulombe</t>
  </si>
  <si>
    <t>Janeth Linja Sango Pereira</t>
  </si>
  <si>
    <t>João Vilembe Javela Gravino</t>
  </si>
  <si>
    <t>José Samuel Mandele Jacunana</t>
  </si>
  <si>
    <t>Kehate Alberto Kitodi</t>
  </si>
  <si>
    <t>Laura Adriano Muxixeny</t>
  </si>
  <si>
    <t>Lídia Juliana Sapalalo Bambi</t>
  </si>
  <si>
    <t>Manuel Figueredo Ngevo Chicomba</t>
  </si>
  <si>
    <t>Paulino Junga Kúpúa</t>
  </si>
  <si>
    <t>Rosa Nené Chimbili</t>
  </si>
  <si>
    <t>Salatiel Mahola Celestino António</t>
  </si>
  <si>
    <t>Samuel Ng. João</t>
  </si>
  <si>
    <t>N.º Estudante</t>
  </si>
  <si>
    <t>17106690</t>
  </si>
  <si>
    <t>21184814</t>
  </si>
  <si>
    <t>22106967</t>
  </si>
  <si>
    <t>22117047</t>
  </si>
  <si>
    <t>22102132</t>
  </si>
  <si>
    <t>18111348</t>
  </si>
  <si>
    <t>22122706</t>
  </si>
  <si>
    <t>22107921</t>
  </si>
  <si>
    <t>19134767</t>
  </si>
  <si>
    <t>19138826</t>
  </si>
  <si>
    <t>20151148</t>
  </si>
  <si>
    <t>22102791</t>
  </si>
  <si>
    <t>20169628</t>
  </si>
  <si>
    <t>17106526</t>
  </si>
  <si>
    <t>22101312</t>
  </si>
  <si>
    <t>16112127</t>
  </si>
  <si>
    <t>22104645</t>
  </si>
  <si>
    <t>22104771</t>
  </si>
  <si>
    <t>22103001</t>
  </si>
  <si>
    <t>20150514</t>
  </si>
  <si>
    <t>20148084</t>
  </si>
  <si>
    <t>19118287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</si>
</sst>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rgb="FF000000"/>
      <name val="Calibri"/>
      <scheme val="minor"/>
    </font>
    <font>
      <b/>
      <sz val="28"/>
      <color rgb="FF000000"/>
      <name val="Calibri"/>
    </font>
    <font>
      <sz val="12"/>
      <name val="Calibri"/>
    </font>
    <font>
      <b/>
      <sz val="24"/>
      <color rgb="FF000000"/>
      <name val="Arial"/>
    </font>
    <font>
      <b/>
      <sz val="18"/>
      <color rgb="FF000000"/>
      <name val="Arial"/>
    </font>
    <font>
      <b/>
      <sz val="14"/>
      <color rgb="FF000000"/>
      <name val="Arial Narrow"/>
    </font>
    <font>
      <b/>
      <sz val="14"/>
      <color rgb="FF000000"/>
      <name val="Calibri"/>
    </font>
    <font>
      <b/>
      <sz val="14"/>
      <color rgb="FF000000"/>
      <name val="Arial"/>
    </font>
    <font>
      <sz val="12"/>
      <color rgb="FF000000"/>
      <name val="Arial"/>
    </font>
    <font>
      <sz val="15"/>
      <color rgb="FF000000"/>
      <name val="Arial"/>
    </font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sz val="11"/>
      <color rgb="FF000000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FE599"/>
        <bgColor rgb="FFFFE599"/>
      </patternFill>
    </fill>
    <fill>
      <patternFill patternType="solid">
        <fgColor rgb="FF0000FF"/>
        <bgColor rgb="FF0000FF"/>
      </patternFill>
    </fill>
    <fill>
      <patternFill patternType="solid">
        <fgColor rgb="FFD0E0E3"/>
        <bgColor rgb="FFD0E0E3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3D85C6"/>
        <bgColor rgb="FF3D85C6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F4F7F9"/>
        <bgColor rgb="FFFFFFFF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D2D6DC"/>
      </left>
      <right style="thin">
        <color rgb="FFD2D6DC"/>
      </right>
      <top style="thin">
        <color rgb="FFD2D6DC"/>
      </top>
      <bottom style="thin">
        <color rgb="FFD2D6DC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7" fillId="0" borderId="12" xfId="0" applyFont="1" applyBorder="1"/>
    <xf numFmtId="0" fontId="8" fillId="0" borderId="12" xfId="0" applyFont="1" applyBorder="1"/>
    <xf numFmtId="0" fontId="9" fillId="0" borderId="12" xfId="0" applyFont="1" applyBorder="1" applyAlignment="1">
      <alignment horizontal="right"/>
    </xf>
    <xf numFmtId="0" fontId="6" fillId="0" borderId="12" xfId="0" applyFont="1" applyBorder="1"/>
    <xf numFmtId="164" fontId="7" fillId="0" borderId="12" xfId="0" applyNumberFormat="1" applyFont="1" applyBorder="1"/>
    <xf numFmtId="2" fontId="7" fillId="0" borderId="12" xfId="0" applyNumberFormat="1" applyFont="1" applyBorder="1"/>
    <xf numFmtId="164" fontId="7" fillId="4" borderId="12" xfId="0" applyNumberFormat="1" applyFont="1" applyFill="1" applyBorder="1"/>
    <xf numFmtId="164" fontId="7" fillId="5" borderId="12" xfId="0" applyNumberFormat="1" applyFont="1" applyFill="1" applyBorder="1"/>
    <xf numFmtId="164" fontId="7" fillId="6" borderId="12" xfId="0" applyNumberFormat="1" applyFont="1" applyFill="1" applyBorder="1"/>
    <xf numFmtId="0" fontId="7" fillId="7" borderId="12" xfId="0" applyFont="1" applyFill="1" applyBorder="1"/>
    <xf numFmtId="0" fontId="6" fillId="8" borderId="12" xfId="0" applyFont="1" applyFill="1" applyBorder="1"/>
    <xf numFmtId="0" fontId="9" fillId="0" borderId="0" xfId="0" applyFont="1" applyAlignment="1">
      <alignment horizontal="right"/>
    </xf>
    <xf numFmtId="0" fontId="6" fillId="0" borderId="0" xfId="0" applyFont="1"/>
    <xf numFmtId="164" fontId="7" fillId="0" borderId="0" xfId="0" applyNumberFormat="1" applyFont="1"/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/>
    <xf numFmtId="0" fontId="8" fillId="0" borderId="0" xfId="0" applyFont="1"/>
    <xf numFmtId="0" fontId="10" fillId="0" borderId="0" xfId="0" applyFont="1"/>
    <xf numFmtId="164" fontId="10" fillId="0" borderId="0" xfId="0" applyNumberFormat="1" applyFont="1"/>
    <xf numFmtId="0" fontId="11" fillId="0" borderId="12" xfId="0" applyFont="1" applyBorder="1" applyAlignment="1">
      <alignment horizontal="right"/>
    </xf>
    <xf numFmtId="164" fontId="10" fillId="4" borderId="12" xfId="0" applyNumberFormat="1" applyFont="1" applyFill="1" applyBorder="1"/>
    <xf numFmtId="2" fontId="10" fillId="0" borderId="0" xfId="0" applyNumberFormat="1" applyFont="1"/>
    <xf numFmtId="0" fontId="5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9" borderId="12" xfId="0" applyFont="1" applyFill="1" applyBorder="1"/>
    <xf numFmtId="0" fontId="8" fillId="10" borderId="12" xfId="0" applyFont="1" applyFill="1" applyBorder="1"/>
    <xf numFmtId="164" fontId="11" fillId="0" borderId="0" xfId="0" applyNumberFormat="1" applyFont="1"/>
    <xf numFmtId="0" fontId="6" fillId="11" borderId="12" xfId="0" applyFont="1" applyFill="1" applyBorder="1"/>
    <xf numFmtId="0" fontId="7" fillId="4" borderId="12" xfId="0" applyFont="1" applyFill="1" applyBorder="1"/>
    <xf numFmtId="0" fontId="6" fillId="12" borderId="12" xfId="0" applyFont="1" applyFill="1" applyBorder="1"/>
    <xf numFmtId="164" fontId="7" fillId="11" borderId="12" xfId="0" applyNumberFormat="1" applyFont="1" applyFill="1" applyBorder="1"/>
    <xf numFmtId="0" fontId="7" fillId="11" borderId="12" xfId="0" applyFont="1" applyFill="1" applyBorder="1"/>
    <xf numFmtId="0" fontId="7" fillId="13" borderId="12" xfId="0" applyFont="1" applyFill="1" applyBorder="1"/>
    <xf numFmtId="0" fontId="8" fillId="4" borderId="12" xfId="0" applyFont="1" applyFill="1" applyBorder="1"/>
    <xf numFmtId="0" fontId="8" fillId="8" borderId="12" xfId="0" applyFont="1" applyFill="1" applyBorder="1"/>
    <xf numFmtId="164" fontId="7" fillId="14" borderId="12" xfId="0" applyNumberFormat="1" applyFont="1" applyFill="1" applyBorder="1"/>
    <xf numFmtId="0" fontId="8" fillId="11" borderId="12" xfId="0" applyFont="1" applyFill="1" applyBorder="1"/>
    <xf numFmtId="164" fontId="10" fillId="15" borderId="0" xfId="0" applyNumberFormat="1" applyFont="1" applyFill="1"/>
    <xf numFmtId="164" fontId="10" fillId="6" borderId="0" xfId="0" applyNumberFormat="1" applyFont="1" applyFill="1"/>
    <xf numFmtId="164" fontId="10" fillId="16" borderId="0" xfId="0" applyNumberFormat="1" applyFont="1" applyFill="1"/>
    <xf numFmtId="164" fontId="10" fillId="7" borderId="0" xfId="0" applyNumberFormat="1" applyFont="1" applyFill="1"/>
    <xf numFmtId="0" fontId="10" fillId="17" borderId="0" xfId="0" applyFont="1" applyFill="1"/>
    <xf numFmtId="0" fontId="6" fillId="14" borderId="12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18" borderId="14" xfId="0" applyFont="1" applyFill="1" applyBorder="1" applyAlignment="1">
      <alignment horizontal="center" vertical="center"/>
    </xf>
  </cellXfs>
  <cellStyles count="1">
    <cellStyle name="Normal" xfId="0" builtinId="0"/>
  </cellStyles>
  <dxfs count="36">
    <dxf>
      <font>
        <color rgb="FFFF0000"/>
      </font>
      <fill>
        <patternFill patternType="none"/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06666"/>
          <bgColor rgb="FFE06666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06666"/>
          <bgColor rgb="FFE06666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06666"/>
          <bgColor rgb="FFE06666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06666"/>
          <bgColor rgb="FFE06666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06666"/>
          <bgColor rgb="FFE06666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8"/>
  <sheetViews>
    <sheetView workbookViewId="0">
      <selection sqref="A1:J2"/>
    </sheetView>
  </sheetViews>
  <sheetFormatPr defaultColWidth="11.19921875" defaultRowHeight="15" customHeight="1" x14ac:dyDescent="0.3"/>
  <cols>
    <col min="1" max="1" width="4.09765625" customWidth="1"/>
    <col min="2" max="2" width="41" customWidth="1"/>
    <col min="3" max="3" width="8" customWidth="1"/>
    <col min="4" max="4" width="5.8984375" customWidth="1"/>
    <col min="5" max="5" width="8.59765625" customWidth="1"/>
    <col min="6" max="7" width="7.59765625" customWidth="1"/>
    <col min="8" max="9" width="8.796875" customWidth="1"/>
    <col min="10" max="10" width="15.59765625" customWidth="1"/>
    <col min="11" max="12" width="4" customWidth="1"/>
    <col min="13" max="13" width="5.796875" customWidth="1"/>
    <col min="14" max="14" width="5.8984375" customWidth="1"/>
    <col min="15" max="15" width="6.09765625" customWidth="1"/>
    <col min="16" max="16" width="4.59765625" customWidth="1"/>
    <col min="17" max="17" width="4.09765625" customWidth="1"/>
    <col min="18" max="18" width="4" customWidth="1"/>
    <col min="19" max="19" width="3.69921875" customWidth="1"/>
    <col min="20" max="20" width="3.8984375" customWidth="1"/>
    <col min="21" max="21" width="3.69921875" customWidth="1"/>
    <col min="22" max="22" width="3.8984375" customWidth="1"/>
    <col min="23" max="23" width="3.69921875" customWidth="1"/>
    <col min="24" max="24" width="4.09765625" customWidth="1"/>
    <col min="25" max="25" width="3.59765625" customWidth="1"/>
    <col min="26" max="27" width="3.69921875" customWidth="1"/>
    <col min="28" max="28" width="3.296875" customWidth="1"/>
    <col min="29" max="29" width="3" customWidth="1"/>
    <col min="30" max="30" width="3.69921875" customWidth="1"/>
    <col min="31" max="31" width="3.59765625" customWidth="1"/>
  </cols>
  <sheetData>
    <row r="1" spans="1:31" ht="36.6" x14ac:dyDescent="0.3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6.6" x14ac:dyDescent="0.3">
      <c r="A2" s="52"/>
      <c r="B2" s="53"/>
      <c r="C2" s="53"/>
      <c r="D2" s="53"/>
      <c r="E2" s="53"/>
      <c r="F2" s="53"/>
      <c r="G2" s="53"/>
      <c r="H2" s="53"/>
      <c r="I2" s="53"/>
      <c r="J2" s="5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5.6" x14ac:dyDescent="0.3">
      <c r="A3" s="54" t="s">
        <v>1</v>
      </c>
      <c r="B3" s="51"/>
      <c r="C3" s="51"/>
      <c r="D3" s="51"/>
      <c r="E3" s="51"/>
      <c r="F3" s="51"/>
      <c r="G3" s="51"/>
      <c r="H3" s="51"/>
      <c r="I3" s="51"/>
      <c r="J3" s="51"/>
      <c r="K3" s="55" t="s">
        <v>2</v>
      </c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7"/>
      <c r="AB3" s="61" t="s">
        <v>3</v>
      </c>
      <c r="AC3" s="56"/>
      <c r="AD3" s="56"/>
      <c r="AE3" s="57"/>
    </row>
    <row r="4" spans="1:31" ht="15.6" x14ac:dyDescent="0.3">
      <c r="A4" s="52"/>
      <c r="B4" s="53"/>
      <c r="C4" s="53"/>
      <c r="D4" s="53"/>
      <c r="E4" s="53"/>
      <c r="F4" s="53"/>
      <c r="G4" s="53"/>
      <c r="H4" s="53"/>
      <c r="I4" s="53"/>
      <c r="J4" s="53"/>
      <c r="K4" s="58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60"/>
      <c r="AB4" s="58"/>
      <c r="AC4" s="59"/>
      <c r="AD4" s="59"/>
      <c r="AE4" s="60"/>
    </row>
    <row r="5" spans="1:31" ht="18" x14ac:dyDescent="0.3">
      <c r="A5" s="3" t="s">
        <v>4</v>
      </c>
      <c r="B5" s="4" t="s">
        <v>5</v>
      </c>
      <c r="C5" s="5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7">
        <v>1</v>
      </c>
      <c r="L5" s="7">
        <v>2</v>
      </c>
      <c r="M5" s="7">
        <v>3</v>
      </c>
      <c r="N5" s="7">
        <v>4</v>
      </c>
      <c r="O5" s="7">
        <v>5</v>
      </c>
      <c r="P5" s="7">
        <v>6</v>
      </c>
      <c r="Q5" s="7">
        <v>7</v>
      </c>
      <c r="R5" s="7">
        <v>8</v>
      </c>
      <c r="S5" s="7">
        <v>9</v>
      </c>
      <c r="T5" s="7">
        <v>10</v>
      </c>
      <c r="U5" s="7">
        <v>11</v>
      </c>
      <c r="V5" s="7">
        <v>12</v>
      </c>
      <c r="W5" s="7">
        <v>13</v>
      </c>
      <c r="X5" s="7">
        <v>14</v>
      </c>
      <c r="Y5" s="7">
        <v>15</v>
      </c>
      <c r="Z5" s="7">
        <v>16</v>
      </c>
      <c r="AB5" s="7">
        <v>1</v>
      </c>
      <c r="AC5" s="7">
        <v>2</v>
      </c>
      <c r="AD5" s="7">
        <v>3</v>
      </c>
      <c r="AE5" s="7">
        <v>4</v>
      </c>
    </row>
    <row r="6" spans="1:31" ht="19.2" x14ac:dyDescent="0.35">
      <c r="A6" s="8">
        <v>1</v>
      </c>
      <c r="B6" s="9" t="s">
        <v>14</v>
      </c>
      <c r="C6" s="10">
        <f t="shared" ref="C6:C42" si="0">SUM(K6:Z6)/COUNT(K6:Z6)</f>
        <v>12.2</v>
      </c>
      <c r="D6" s="6">
        <v>2</v>
      </c>
      <c r="E6" s="6">
        <v>12.5</v>
      </c>
      <c r="F6" s="11">
        <f t="shared" ref="F6:F42" si="1">IF(OR(AND(D6="P",E6="P"),AND(D6="p",E6="p")),0,0.4*C6+0.6*AVERAGE(IF(D6="F",0,D6),IF(E6="F",0,E6)))</f>
        <v>9.23</v>
      </c>
      <c r="G6" s="12">
        <v>10</v>
      </c>
      <c r="H6" s="10">
        <f t="shared" ref="H6:H42" si="2">IF(OR(AND(D6="P",E6="P"),AND(D6="p",E6="p")),IF(G6="F",0,G6),IF(G6="","",IF(G6="F",IF(F6&gt;12.45,F6,F6*0.6),F6*0.6+G6*0.4)))</f>
        <v>9.5380000000000003</v>
      </c>
      <c r="I6" s="10" t="s">
        <v>15</v>
      </c>
      <c r="J6" s="6" t="str">
        <f t="shared" ref="J6:J42" si="3">IF(OR(F6&gt;=6.5,OR(AND(D6="P",E6="P"),AND(D6="p",E6="p"))),IF(AND(F6&gt;=13.5,D6&gt;=10,E6&gt;=10),"Dispensado",IF(H6="","EXAME",IF(H6&gt;9.44,"APROVADO",IF(I6="","Recurso",IF(OR(I6=9,I6=10,I6=8),"APROVADO","REPROVADO"))))),"REPROVADO")</f>
        <v>APROVADO</v>
      </c>
      <c r="K6" s="7">
        <v>8</v>
      </c>
      <c r="L6" s="7">
        <f t="shared" ref="L6:L7" si="4">4*0</f>
        <v>0</v>
      </c>
      <c r="M6" s="7">
        <v>15</v>
      </c>
      <c r="N6" s="7">
        <v>15</v>
      </c>
      <c r="O6" s="7">
        <v>0</v>
      </c>
      <c r="P6" s="7">
        <v>4</v>
      </c>
      <c r="Q6" s="7">
        <v>20</v>
      </c>
      <c r="R6" s="7">
        <v>20</v>
      </c>
      <c r="S6" s="7">
        <v>20</v>
      </c>
      <c r="T6" s="7">
        <v>20</v>
      </c>
      <c r="U6" s="7"/>
      <c r="V6" s="7"/>
      <c r="W6" s="7"/>
      <c r="X6" s="7"/>
      <c r="Y6" s="7"/>
      <c r="Z6" s="7"/>
      <c r="AB6" s="7"/>
      <c r="AC6" s="7"/>
      <c r="AD6" s="7"/>
      <c r="AE6" s="7"/>
    </row>
    <row r="7" spans="1:31" ht="19.2" x14ac:dyDescent="0.35">
      <c r="A7" s="8">
        <v>2</v>
      </c>
      <c r="B7" s="9" t="s">
        <v>16</v>
      </c>
      <c r="C7" s="10">
        <f t="shared" si="0"/>
        <v>11.6</v>
      </c>
      <c r="D7" s="6">
        <v>4</v>
      </c>
      <c r="E7" s="6">
        <v>5</v>
      </c>
      <c r="F7" s="11">
        <f t="shared" si="1"/>
        <v>7.34</v>
      </c>
      <c r="G7" s="13">
        <v>2</v>
      </c>
      <c r="H7" s="10">
        <f t="shared" si="2"/>
        <v>5.2039999999999997</v>
      </c>
      <c r="I7" s="12">
        <v>9</v>
      </c>
      <c r="J7" s="6" t="str">
        <f t="shared" si="3"/>
        <v>APROVADO</v>
      </c>
      <c r="K7" s="7">
        <v>0</v>
      </c>
      <c r="L7" s="7">
        <f t="shared" si="4"/>
        <v>0</v>
      </c>
      <c r="M7" s="7">
        <v>15</v>
      </c>
      <c r="N7" s="7">
        <v>0</v>
      </c>
      <c r="O7" s="7">
        <v>15</v>
      </c>
      <c r="P7" s="7">
        <v>6</v>
      </c>
      <c r="Q7" s="7">
        <v>20</v>
      </c>
      <c r="R7" s="7">
        <v>20</v>
      </c>
      <c r="S7" s="7">
        <v>20</v>
      </c>
      <c r="T7" s="7">
        <v>20</v>
      </c>
      <c r="U7" s="7"/>
      <c r="V7" s="7"/>
      <c r="W7" s="7"/>
      <c r="X7" s="7"/>
      <c r="Y7" s="7"/>
      <c r="Z7" s="7"/>
      <c r="AB7" s="7"/>
      <c r="AC7" s="7"/>
      <c r="AD7" s="7"/>
      <c r="AE7" s="7"/>
    </row>
    <row r="8" spans="1:31" ht="19.2" x14ac:dyDescent="0.35">
      <c r="A8" s="8">
        <v>3</v>
      </c>
      <c r="B8" s="9" t="s">
        <v>17</v>
      </c>
      <c r="C8" s="10">
        <f t="shared" si="0"/>
        <v>10.940000000000001</v>
      </c>
      <c r="D8" s="6">
        <v>4</v>
      </c>
      <c r="E8" s="6">
        <v>7.5</v>
      </c>
      <c r="F8" s="11">
        <f t="shared" si="1"/>
        <v>7.8260000000000005</v>
      </c>
      <c r="G8" s="14">
        <v>12</v>
      </c>
      <c r="H8" s="10">
        <f t="shared" si="2"/>
        <v>9.4955999999999996</v>
      </c>
      <c r="I8" s="10" t="s">
        <v>15</v>
      </c>
      <c r="J8" s="6" t="str">
        <f t="shared" si="3"/>
        <v>APROVADO</v>
      </c>
      <c r="K8" s="7">
        <v>7</v>
      </c>
      <c r="L8" s="7">
        <f>4*0.1</f>
        <v>0.4</v>
      </c>
      <c r="M8" s="7">
        <v>0</v>
      </c>
      <c r="N8" s="7">
        <v>0</v>
      </c>
      <c r="O8" s="7">
        <v>15</v>
      </c>
      <c r="P8" s="7">
        <v>7</v>
      </c>
      <c r="Q8" s="7">
        <v>20</v>
      </c>
      <c r="R8" s="7">
        <v>20</v>
      </c>
      <c r="S8" s="7">
        <v>20</v>
      </c>
      <c r="T8" s="7">
        <v>20</v>
      </c>
      <c r="U8" s="7"/>
      <c r="V8" s="7"/>
      <c r="W8" s="7"/>
      <c r="X8" s="7"/>
      <c r="Y8" s="7"/>
      <c r="Z8" s="7"/>
      <c r="AB8" s="7"/>
      <c r="AC8" s="7"/>
      <c r="AD8" s="7"/>
      <c r="AE8" s="7"/>
    </row>
    <row r="9" spans="1:31" ht="19.2" x14ac:dyDescent="0.35">
      <c r="A9" s="8">
        <v>4</v>
      </c>
      <c r="B9" s="9" t="s">
        <v>18</v>
      </c>
      <c r="C9" s="10">
        <f t="shared" si="0"/>
        <v>11.14</v>
      </c>
      <c r="D9" s="6">
        <v>1</v>
      </c>
      <c r="E9" s="6">
        <v>12.5</v>
      </c>
      <c r="F9" s="11">
        <f t="shared" si="1"/>
        <v>8.5060000000000002</v>
      </c>
      <c r="G9" s="10">
        <v>12</v>
      </c>
      <c r="H9" s="10">
        <f t="shared" si="2"/>
        <v>9.9036000000000008</v>
      </c>
      <c r="I9" s="10" t="s">
        <v>15</v>
      </c>
      <c r="J9" s="6" t="str">
        <f t="shared" si="3"/>
        <v>APROVADO</v>
      </c>
      <c r="K9" s="7">
        <v>3</v>
      </c>
      <c r="L9" s="7">
        <f>4*2.35</f>
        <v>9.4</v>
      </c>
      <c r="M9" s="7">
        <v>15</v>
      </c>
      <c r="N9" s="7">
        <v>0</v>
      </c>
      <c r="O9" s="7">
        <v>0</v>
      </c>
      <c r="P9" s="7">
        <v>4</v>
      </c>
      <c r="Q9" s="7">
        <v>20</v>
      </c>
      <c r="R9" s="7">
        <v>20</v>
      </c>
      <c r="S9" s="7">
        <v>20</v>
      </c>
      <c r="T9" s="7">
        <v>20</v>
      </c>
      <c r="U9" s="7"/>
      <c r="V9" s="7"/>
      <c r="W9" s="7"/>
      <c r="X9" s="7"/>
      <c r="Y9" s="7"/>
      <c r="Z9" s="7"/>
      <c r="AB9" s="7"/>
      <c r="AC9" s="7"/>
      <c r="AD9" s="7"/>
      <c r="AE9" s="7"/>
    </row>
    <row r="10" spans="1:31" ht="19.2" x14ac:dyDescent="0.35">
      <c r="A10" s="8">
        <v>5</v>
      </c>
      <c r="B10" s="9" t="s">
        <v>19</v>
      </c>
      <c r="C10" s="10">
        <f t="shared" si="0"/>
        <v>10.5</v>
      </c>
      <c r="D10" s="6">
        <v>10</v>
      </c>
      <c r="E10" s="6">
        <v>7.5</v>
      </c>
      <c r="F10" s="11">
        <f t="shared" si="1"/>
        <v>9.4499999999999993</v>
      </c>
      <c r="G10" s="10">
        <v>6</v>
      </c>
      <c r="H10" s="10">
        <f t="shared" si="2"/>
        <v>8.07</v>
      </c>
      <c r="I10" s="10">
        <v>10</v>
      </c>
      <c r="J10" s="6" t="str">
        <f t="shared" si="3"/>
        <v>APROVADO</v>
      </c>
      <c r="K10" s="7">
        <v>10</v>
      </c>
      <c r="L10" s="7">
        <f t="shared" ref="L10:L11" si="5">4*0</f>
        <v>0</v>
      </c>
      <c r="M10" s="7">
        <v>0</v>
      </c>
      <c r="N10" s="7">
        <v>15</v>
      </c>
      <c r="O10" s="7">
        <v>0</v>
      </c>
      <c r="P10" s="7">
        <v>0</v>
      </c>
      <c r="Q10" s="7">
        <v>20</v>
      </c>
      <c r="R10" s="7">
        <v>20</v>
      </c>
      <c r="S10" s="7">
        <v>20</v>
      </c>
      <c r="T10" s="7">
        <v>20</v>
      </c>
      <c r="U10" s="7"/>
      <c r="V10" s="7"/>
      <c r="W10" s="7"/>
      <c r="X10" s="7"/>
      <c r="Y10" s="7"/>
      <c r="Z10" s="7"/>
      <c r="AB10" s="7"/>
      <c r="AC10" s="7"/>
      <c r="AD10" s="7"/>
      <c r="AE10" s="7"/>
    </row>
    <row r="11" spans="1:31" ht="19.2" x14ac:dyDescent="0.35">
      <c r="A11" s="8">
        <v>6</v>
      </c>
      <c r="B11" s="9" t="s">
        <v>20</v>
      </c>
      <c r="C11" s="10">
        <f t="shared" si="0"/>
        <v>6.1428571428571432</v>
      </c>
      <c r="D11" s="6" t="s">
        <v>15</v>
      </c>
      <c r="E11" s="6">
        <v>2.5</v>
      </c>
      <c r="F11" s="11">
        <f t="shared" si="1"/>
        <v>3.2071428571428573</v>
      </c>
      <c r="G11" s="10" t="s">
        <v>15</v>
      </c>
      <c r="H11" s="10">
        <f t="shared" si="2"/>
        <v>1.9242857142857144</v>
      </c>
      <c r="I11" s="10" t="s">
        <v>15</v>
      </c>
      <c r="J11" s="6" t="str">
        <f t="shared" si="3"/>
        <v>REPROVADO</v>
      </c>
      <c r="K11" s="7">
        <v>8</v>
      </c>
      <c r="L11" s="7">
        <f t="shared" si="5"/>
        <v>0</v>
      </c>
      <c r="M11" s="7">
        <v>0</v>
      </c>
      <c r="N11" s="7">
        <v>0</v>
      </c>
      <c r="O11" s="7">
        <v>15</v>
      </c>
      <c r="P11" s="7">
        <v>0</v>
      </c>
      <c r="Q11" s="7">
        <v>20</v>
      </c>
      <c r="R11" s="7"/>
      <c r="S11" s="7"/>
      <c r="T11" s="7"/>
      <c r="U11" s="7"/>
      <c r="V11" s="7"/>
      <c r="W11" s="7"/>
      <c r="X11" s="7"/>
      <c r="Y11" s="7"/>
      <c r="Z11" s="7"/>
      <c r="AB11" s="7"/>
      <c r="AC11" s="7"/>
      <c r="AD11" s="7"/>
      <c r="AE11" s="7"/>
    </row>
    <row r="12" spans="1:31" ht="19.2" x14ac:dyDescent="0.35">
      <c r="A12" s="8">
        <v>7</v>
      </c>
      <c r="B12" s="9" t="s">
        <v>21</v>
      </c>
      <c r="C12" s="10">
        <f t="shared" si="0"/>
        <v>12.1</v>
      </c>
      <c r="D12" s="6">
        <v>11</v>
      </c>
      <c r="E12" s="6">
        <v>12.5</v>
      </c>
      <c r="F12" s="11">
        <f t="shared" si="1"/>
        <v>11.89</v>
      </c>
      <c r="G12" s="10">
        <v>10</v>
      </c>
      <c r="H12" s="10">
        <f t="shared" si="2"/>
        <v>11.134</v>
      </c>
      <c r="I12" s="10" t="s">
        <v>15</v>
      </c>
      <c r="J12" s="6" t="str">
        <f t="shared" si="3"/>
        <v>APROVADO</v>
      </c>
      <c r="K12" s="7">
        <v>2</v>
      </c>
      <c r="L12" s="7">
        <f>4*0.75</f>
        <v>3</v>
      </c>
      <c r="M12" s="7">
        <v>15</v>
      </c>
      <c r="N12" s="7">
        <v>0</v>
      </c>
      <c r="O12" s="7">
        <v>15</v>
      </c>
      <c r="P12" s="7">
        <v>6</v>
      </c>
      <c r="Q12" s="7">
        <v>20</v>
      </c>
      <c r="R12" s="7">
        <v>20</v>
      </c>
      <c r="S12" s="7">
        <v>20</v>
      </c>
      <c r="T12" s="7">
        <v>20</v>
      </c>
      <c r="U12" s="7"/>
      <c r="V12" s="7"/>
      <c r="W12" s="7"/>
      <c r="X12" s="7"/>
      <c r="Y12" s="7"/>
      <c r="Z12" s="7"/>
      <c r="AB12" s="7"/>
      <c r="AC12" s="7"/>
      <c r="AD12" s="7"/>
      <c r="AE12" s="7"/>
    </row>
    <row r="13" spans="1:31" ht="19.2" x14ac:dyDescent="0.35">
      <c r="A13" s="8">
        <v>8</v>
      </c>
      <c r="B13" s="9" t="s">
        <v>22</v>
      </c>
      <c r="C13" s="10">
        <f t="shared" si="0"/>
        <v>9.5</v>
      </c>
      <c r="D13" s="6">
        <v>6</v>
      </c>
      <c r="E13" s="6">
        <v>12.5</v>
      </c>
      <c r="F13" s="11">
        <f t="shared" si="1"/>
        <v>9.35</v>
      </c>
      <c r="G13" s="12">
        <v>10</v>
      </c>
      <c r="H13" s="10">
        <f t="shared" si="2"/>
        <v>9.61</v>
      </c>
      <c r="I13" s="10" t="s">
        <v>15</v>
      </c>
      <c r="J13" s="6" t="str">
        <f t="shared" si="3"/>
        <v>APROVADO</v>
      </c>
      <c r="K13" s="7">
        <v>0</v>
      </c>
      <c r="L13" s="7">
        <f>4*0</f>
        <v>0</v>
      </c>
      <c r="M13" s="7">
        <v>0</v>
      </c>
      <c r="N13" s="7">
        <v>0</v>
      </c>
      <c r="O13" s="7">
        <v>15</v>
      </c>
      <c r="P13" s="7">
        <v>0</v>
      </c>
      <c r="Q13" s="7">
        <v>20</v>
      </c>
      <c r="R13" s="7">
        <v>20</v>
      </c>
      <c r="S13" s="7">
        <v>20</v>
      </c>
      <c r="T13" s="7">
        <v>20</v>
      </c>
      <c r="U13" s="7"/>
      <c r="V13" s="7"/>
      <c r="W13" s="7"/>
      <c r="X13" s="7"/>
      <c r="Y13" s="7"/>
      <c r="Z13" s="7"/>
      <c r="AB13" s="7"/>
      <c r="AC13" s="7"/>
      <c r="AD13" s="7"/>
      <c r="AE13" s="7"/>
    </row>
    <row r="14" spans="1:31" ht="19.2" x14ac:dyDescent="0.35">
      <c r="A14" s="8">
        <v>9</v>
      </c>
      <c r="B14" s="9" t="s">
        <v>23</v>
      </c>
      <c r="C14" s="10">
        <f t="shared" si="0"/>
        <v>4.1333333333333337</v>
      </c>
      <c r="D14" s="6" t="s">
        <v>15</v>
      </c>
      <c r="E14" s="6" t="s">
        <v>15</v>
      </c>
      <c r="F14" s="11">
        <f t="shared" si="1"/>
        <v>1.6533333333333335</v>
      </c>
      <c r="G14" s="10" t="s">
        <v>15</v>
      </c>
      <c r="H14" s="10">
        <f t="shared" si="2"/>
        <v>0.9920000000000001</v>
      </c>
      <c r="I14" s="10" t="s">
        <v>15</v>
      </c>
      <c r="J14" s="6" t="str">
        <f t="shared" si="3"/>
        <v>REPROVADO</v>
      </c>
      <c r="K14" s="7">
        <v>6</v>
      </c>
      <c r="L14" s="7">
        <f>4*0.95</f>
        <v>3.8</v>
      </c>
      <c r="M14" s="7">
        <v>15</v>
      </c>
      <c r="N14" s="7">
        <v>0</v>
      </c>
      <c r="O14" s="7">
        <v>0</v>
      </c>
      <c r="P14" s="7">
        <v>0</v>
      </c>
      <c r="Q14" s="7"/>
      <c r="R14" s="7"/>
      <c r="S14" s="7"/>
      <c r="T14" s="7"/>
      <c r="U14" s="7"/>
      <c r="V14" s="7"/>
      <c r="W14" s="7"/>
      <c r="X14" s="7"/>
      <c r="Y14" s="7"/>
      <c r="Z14" s="7"/>
      <c r="AB14" s="7"/>
      <c r="AC14" s="7"/>
      <c r="AD14" s="7"/>
      <c r="AE14" s="7"/>
    </row>
    <row r="15" spans="1:31" ht="19.2" x14ac:dyDescent="0.35">
      <c r="A15" s="8">
        <v>10</v>
      </c>
      <c r="B15" s="9" t="s">
        <v>24</v>
      </c>
      <c r="C15" s="10">
        <f t="shared" si="0"/>
        <v>13.6</v>
      </c>
      <c r="D15" s="6">
        <v>5</v>
      </c>
      <c r="E15" s="6">
        <v>2.5</v>
      </c>
      <c r="F15" s="11">
        <f t="shared" si="1"/>
        <v>7.69</v>
      </c>
      <c r="G15" s="10">
        <v>6</v>
      </c>
      <c r="H15" s="10">
        <f t="shared" si="2"/>
        <v>7.0140000000000002</v>
      </c>
      <c r="I15" s="10">
        <v>10</v>
      </c>
      <c r="J15" s="6" t="str">
        <f t="shared" si="3"/>
        <v>APROVADO</v>
      </c>
      <c r="K15" s="7">
        <v>0</v>
      </c>
      <c r="L15" s="7">
        <f>4*0.25</f>
        <v>1</v>
      </c>
      <c r="M15" s="7">
        <v>15</v>
      </c>
      <c r="N15" s="7">
        <v>15</v>
      </c>
      <c r="O15" s="7">
        <v>15</v>
      </c>
      <c r="P15" s="7">
        <v>10</v>
      </c>
      <c r="Q15" s="7">
        <v>20</v>
      </c>
      <c r="R15" s="7">
        <v>20</v>
      </c>
      <c r="S15" s="7">
        <v>20</v>
      </c>
      <c r="T15" s="7">
        <v>20</v>
      </c>
      <c r="U15" s="7"/>
      <c r="V15" s="7"/>
      <c r="W15" s="7"/>
      <c r="X15" s="7"/>
      <c r="Y15" s="7"/>
      <c r="Z15" s="7"/>
      <c r="AB15" s="7"/>
      <c r="AC15" s="7"/>
      <c r="AD15" s="7"/>
      <c r="AE15" s="7"/>
    </row>
    <row r="16" spans="1:31" ht="19.2" x14ac:dyDescent="0.35">
      <c r="A16" s="8">
        <v>11</v>
      </c>
      <c r="B16" s="9" t="s">
        <v>25</v>
      </c>
      <c r="C16" s="10">
        <f t="shared" si="0"/>
        <v>6</v>
      </c>
      <c r="D16" s="6">
        <v>6</v>
      </c>
      <c r="E16" s="6">
        <v>0</v>
      </c>
      <c r="F16" s="11">
        <f t="shared" si="1"/>
        <v>4.2</v>
      </c>
      <c r="G16" s="10" t="s">
        <v>15</v>
      </c>
      <c r="H16" s="10">
        <f t="shared" si="2"/>
        <v>2.52</v>
      </c>
      <c r="I16" s="10" t="s">
        <v>15</v>
      </c>
      <c r="J16" s="6" t="str">
        <f t="shared" si="3"/>
        <v>REPROVADO</v>
      </c>
      <c r="K16" s="7">
        <v>3</v>
      </c>
      <c r="L16" s="7">
        <f>4*0</f>
        <v>0</v>
      </c>
      <c r="M16" s="7">
        <v>0</v>
      </c>
      <c r="N16" s="7">
        <v>0</v>
      </c>
      <c r="O16" s="7">
        <v>15</v>
      </c>
      <c r="P16" s="7">
        <v>4</v>
      </c>
      <c r="Q16" s="7">
        <v>20</v>
      </c>
      <c r="R16" s="7"/>
      <c r="S16" s="7"/>
      <c r="T16" s="7"/>
      <c r="U16" s="7"/>
      <c r="V16" s="7"/>
      <c r="W16" s="7"/>
      <c r="X16" s="7"/>
      <c r="Y16" s="7"/>
      <c r="Z16" s="7"/>
      <c r="AB16" s="7"/>
      <c r="AC16" s="7"/>
      <c r="AD16" s="7"/>
      <c r="AE16" s="7"/>
    </row>
    <row r="17" spans="1:31" ht="19.2" x14ac:dyDescent="0.35">
      <c r="A17" s="8">
        <v>12</v>
      </c>
      <c r="B17" s="9" t="s">
        <v>26</v>
      </c>
      <c r="C17" s="10">
        <f t="shared" si="0"/>
        <v>8.8650000000000002</v>
      </c>
      <c r="D17" s="6">
        <v>18</v>
      </c>
      <c r="E17" s="6">
        <v>2.5</v>
      </c>
      <c r="F17" s="11">
        <f t="shared" si="1"/>
        <v>9.6959999999999997</v>
      </c>
      <c r="G17" s="10">
        <v>2</v>
      </c>
      <c r="H17" s="10">
        <f t="shared" si="2"/>
        <v>6.6175999999999995</v>
      </c>
      <c r="I17" s="10">
        <v>6</v>
      </c>
      <c r="J17" s="6" t="str">
        <f t="shared" si="3"/>
        <v>REPROVADO</v>
      </c>
      <c r="K17" s="7">
        <v>0</v>
      </c>
      <c r="L17" s="7">
        <f>4*0.1</f>
        <v>0.4</v>
      </c>
      <c r="M17" s="7">
        <v>0</v>
      </c>
      <c r="N17" s="7">
        <v>0</v>
      </c>
      <c r="O17" s="7">
        <v>0</v>
      </c>
      <c r="P17" s="7">
        <v>8.25</v>
      </c>
      <c r="Q17" s="7">
        <v>20</v>
      </c>
      <c r="R17" s="7">
        <v>20</v>
      </c>
      <c r="S17" s="7">
        <v>20</v>
      </c>
      <c r="T17" s="7">
        <v>20</v>
      </c>
      <c r="U17" s="7"/>
      <c r="V17" s="7"/>
      <c r="W17" s="7"/>
      <c r="X17" s="7"/>
      <c r="Y17" s="7"/>
      <c r="Z17" s="7"/>
      <c r="AB17" s="7"/>
      <c r="AC17" s="7"/>
      <c r="AD17" s="7"/>
      <c r="AE17" s="7"/>
    </row>
    <row r="18" spans="1:31" ht="19.2" x14ac:dyDescent="0.35">
      <c r="A18" s="8">
        <v>13</v>
      </c>
      <c r="B18" s="9" t="s">
        <v>27</v>
      </c>
      <c r="C18" s="10">
        <f t="shared" si="0"/>
        <v>14</v>
      </c>
      <c r="D18" s="15">
        <v>14</v>
      </c>
      <c r="E18" s="6">
        <v>7.5</v>
      </c>
      <c r="F18" s="11">
        <f t="shared" si="1"/>
        <v>12.05</v>
      </c>
      <c r="G18" s="10">
        <v>4</v>
      </c>
      <c r="H18" s="10">
        <f t="shared" si="2"/>
        <v>8.83</v>
      </c>
      <c r="I18" s="10">
        <v>10</v>
      </c>
      <c r="J18" s="6" t="str">
        <f t="shared" si="3"/>
        <v>APROVADO</v>
      </c>
      <c r="K18" s="7">
        <v>0</v>
      </c>
      <c r="L18" s="7">
        <f>4*1.5</f>
        <v>6</v>
      </c>
      <c r="M18" s="7">
        <v>15</v>
      </c>
      <c r="N18" s="7">
        <v>15</v>
      </c>
      <c r="O18" s="7">
        <v>15</v>
      </c>
      <c r="P18" s="7">
        <v>9</v>
      </c>
      <c r="Q18" s="7">
        <v>20</v>
      </c>
      <c r="R18" s="7">
        <v>20</v>
      </c>
      <c r="S18" s="7">
        <v>20</v>
      </c>
      <c r="T18" s="7">
        <v>20</v>
      </c>
      <c r="U18" s="7"/>
      <c r="V18" s="7"/>
      <c r="W18" s="7"/>
      <c r="X18" s="7"/>
      <c r="Y18" s="7"/>
      <c r="Z18" s="7"/>
      <c r="AB18" s="7"/>
      <c r="AC18" s="7"/>
      <c r="AD18" s="7"/>
      <c r="AE18" s="7"/>
    </row>
    <row r="19" spans="1:31" ht="19.2" x14ac:dyDescent="0.35">
      <c r="A19" s="8">
        <v>14</v>
      </c>
      <c r="B19" s="9" t="s">
        <v>28</v>
      </c>
      <c r="C19" s="10">
        <f t="shared" si="0"/>
        <v>10.24</v>
      </c>
      <c r="D19" s="15">
        <v>6.25</v>
      </c>
      <c r="E19" s="6">
        <v>7.5</v>
      </c>
      <c r="F19" s="11">
        <f t="shared" si="1"/>
        <v>8.2210000000000001</v>
      </c>
      <c r="G19" s="10">
        <v>8</v>
      </c>
      <c r="H19" s="10">
        <f t="shared" si="2"/>
        <v>8.1326000000000001</v>
      </c>
      <c r="I19" s="10">
        <v>10</v>
      </c>
      <c r="J19" s="6" t="str">
        <f t="shared" si="3"/>
        <v>APROVADO</v>
      </c>
      <c r="K19" s="7">
        <v>0</v>
      </c>
      <c r="L19" s="7">
        <f>4*0.1</f>
        <v>0.4</v>
      </c>
      <c r="M19" s="7">
        <v>0</v>
      </c>
      <c r="N19" s="7">
        <v>15</v>
      </c>
      <c r="O19" s="7">
        <v>0</v>
      </c>
      <c r="P19" s="7">
        <v>7</v>
      </c>
      <c r="Q19" s="7">
        <v>20</v>
      </c>
      <c r="R19" s="7">
        <v>20</v>
      </c>
      <c r="S19" s="7">
        <v>20</v>
      </c>
      <c r="T19" s="7">
        <v>20</v>
      </c>
      <c r="U19" s="7"/>
      <c r="V19" s="7"/>
      <c r="W19" s="7"/>
      <c r="X19" s="7"/>
      <c r="Y19" s="7"/>
      <c r="Z19" s="7"/>
      <c r="AB19" s="7"/>
      <c r="AC19" s="7"/>
      <c r="AD19" s="7"/>
      <c r="AE19" s="7"/>
    </row>
    <row r="20" spans="1:31" ht="19.2" x14ac:dyDescent="0.35">
      <c r="A20" s="8">
        <v>15</v>
      </c>
      <c r="B20" s="9" t="s">
        <v>29</v>
      </c>
      <c r="C20" s="10">
        <f t="shared" si="0"/>
        <v>11.4</v>
      </c>
      <c r="D20" s="6">
        <v>5</v>
      </c>
      <c r="E20" s="6">
        <v>7.5</v>
      </c>
      <c r="F20" s="11">
        <f t="shared" si="1"/>
        <v>8.31</v>
      </c>
      <c r="G20" s="10">
        <v>8</v>
      </c>
      <c r="H20" s="10">
        <f t="shared" si="2"/>
        <v>8.1859999999999999</v>
      </c>
      <c r="I20" s="10">
        <v>10</v>
      </c>
      <c r="J20" s="6" t="str">
        <f t="shared" si="3"/>
        <v>APROVADO</v>
      </c>
      <c r="K20" s="7">
        <v>3</v>
      </c>
      <c r="L20" s="7">
        <f>4*0.25</f>
        <v>1</v>
      </c>
      <c r="M20" s="7">
        <v>15</v>
      </c>
      <c r="N20" s="7">
        <v>0</v>
      </c>
      <c r="O20" s="7">
        <v>15</v>
      </c>
      <c r="P20" s="7">
        <v>0</v>
      </c>
      <c r="Q20" s="7">
        <v>20</v>
      </c>
      <c r="R20" s="7">
        <v>20</v>
      </c>
      <c r="S20" s="7">
        <v>20</v>
      </c>
      <c r="T20" s="7">
        <v>20</v>
      </c>
      <c r="U20" s="7"/>
      <c r="V20" s="7"/>
      <c r="W20" s="7"/>
      <c r="X20" s="7"/>
      <c r="Y20" s="7"/>
      <c r="Z20" s="7"/>
      <c r="AB20" s="7"/>
      <c r="AC20" s="7"/>
      <c r="AD20" s="7"/>
      <c r="AE20" s="7"/>
    </row>
    <row r="21" spans="1:31" ht="19.2" x14ac:dyDescent="0.35">
      <c r="A21" s="8">
        <v>16</v>
      </c>
      <c r="B21" s="9" t="s">
        <v>30</v>
      </c>
      <c r="C21" s="10">
        <f t="shared" si="0"/>
        <v>8.4</v>
      </c>
      <c r="D21" s="6">
        <v>3</v>
      </c>
      <c r="E21" s="6">
        <v>7.5</v>
      </c>
      <c r="F21" s="11">
        <f t="shared" si="1"/>
        <v>6.51</v>
      </c>
      <c r="G21" s="10">
        <v>2</v>
      </c>
      <c r="H21" s="10">
        <f t="shared" si="2"/>
        <v>4.7059999999999995</v>
      </c>
      <c r="I21" s="10">
        <v>10</v>
      </c>
      <c r="J21" s="6" t="str">
        <f t="shared" si="3"/>
        <v>APROVADO</v>
      </c>
      <c r="K21" s="7">
        <v>0</v>
      </c>
      <c r="L21" s="7">
        <f t="shared" ref="L21:L25" si="6">4*0</f>
        <v>0</v>
      </c>
      <c r="M21" s="7">
        <v>0</v>
      </c>
      <c r="N21" s="7">
        <v>0</v>
      </c>
      <c r="O21" s="7">
        <v>0</v>
      </c>
      <c r="P21" s="7">
        <v>4</v>
      </c>
      <c r="Q21" s="7">
        <v>20</v>
      </c>
      <c r="R21" s="7">
        <v>20</v>
      </c>
      <c r="S21" s="7">
        <v>20</v>
      </c>
      <c r="T21" s="7">
        <v>20</v>
      </c>
      <c r="U21" s="7"/>
      <c r="V21" s="7"/>
      <c r="W21" s="7"/>
      <c r="X21" s="7"/>
      <c r="Y21" s="7"/>
      <c r="Z21" s="7"/>
      <c r="AB21" s="7"/>
      <c r="AC21" s="7"/>
      <c r="AD21" s="7"/>
      <c r="AE21" s="7"/>
    </row>
    <row r="22" spans="1:31" ht="19.2" x14ac:dyDescent="0.35">
      <c r="A22" s="8">
        <v>17</v>
      </c>
      <c r="B22" s="9" t="s">
        <v>31</v>
      </c>
      <c r="C22" s="10">
        <f t="shared" si="0"/>
        <v>12.8</v>
      </c>
      <c r="D22" s="6">
        <v>7</v>
      </c>
      <c r="E22" s="6">
        <v>12.5</v>
      </c>
      <c r="F22" s="11">
        <f t="shared" si="1"/>
        <v>10.97</v>
      </c>
      <c r="G22" s="10">
        <v>12</v>
      </c>
      <c r="H22" s="10">
        <f t="shared" si="2"/>
        <v>11.382000000000001</v>
      </c>
      <c r="I22" s="10" t="s">
        <v>15</v>
      </c>
      <c r="J22" s="6" t="str">
        <f t="shared" si="3"/>
        <v>APROVADO</v>
      </c>
      <c r="K22" s="7">
        <v>0</v>
      </c>
      <c r="L22" s="7">
        <f t="shared" si="6"/>
        <v>0</v>
      </c>
      <c r="M22" s="7">
        <v>0</v>
      </c>
      <c r="N22" s="7">
        <v>15</v>
      </c>
      <c r="O22" s="7">
        <v>15</v>
      </c>
      <c r="P22" s="7">
        <v>18</v>
      </c>
      <c r="Q22" s="7">
        <v>20</v>
      </c>
      <c r="R22" s="7">
        <v>20</v>
      </c>
      <c r="S22" s="7">
        <v>20</v>
      </c>
      <c r="T22" s="7">
        <v>20</v>
      </c>
      <c r="U22" s="7"/>
      <c r="V22" s="7"/>
      <c r="W22" s="7"/>
      <c r="X22" s="7"/>
      <c r="Y22" s="7"/>
      <c r="Z22" s="7"/>
      <c r="AB22" s="7"/>
      <c r="AC22" s="7"/>
      <c r="AD22" s="7"/>
      <c r="AE22" s="7"/>
    </row>
    <row r="23" spans="1:31" ht="19.2" x14ac:dyDescent="0.35">
      <c r="A23" s="8">
        <v>18</v>
      </c>
      <c r="B23" s="9" t="s">
        <v>32</v>
      </c>
      <c r="C23" s="10">
        <f t="shared" si="0"/>
        <v>13.5</v>
      </c>
      <c r="D23" s="6">
        <v>6</v>
      </c>
      <c r="E23" s="6">
        <v>12.5</v>
      </c>
      <c r="F23" s="11">
        <f t="shared" si="1"/>
        <v>10.95</v>
      </c>
      <c r="G23" s="10">
        <v>14</v>
      </c>
      <c r="H23" s="10">
        <f t="shared" si="2"/>
        <v>12.17</v>
      </c>
      <c r="I23" s="10" t="s">
        <v>15</v>
      </c>
      <c r="J23" s="6" t="str">
        <f t="shared" si="3"/>
        <v>APROVADO</v>
      </c>
      <c r="K23" s="7">
        <v>2</v>
      </c>
      <c r="L23" s="7">
        <f t="shared" si="6"/>
        <v>0</v>
      </c>
      <c r="M23" s="7">
        <v>15</v>
      </c>
      <c r="N23" s="7">
        <v>15</v>
      </c>
      <c r="O23" s="7">
        <v>15</v>
      </c>
      <c r="P23" s="7">
        <v>8</v>
      </c>
      <c r="Q23" s="7">
        <v>20</v>
      </c>
      <c r="R23" s="7">
        <v>20</v>
      </c>
      <c r="S23" s="7">
        <v>20</v>
      </c>
      <c r="T23" s="7">
        <v>20</v>
      </c>
      <c r="U23" s="7"/>
      <c r="V23" s="7"/>
      <c r="W23" s="7"/>
      <c r="X23" s="7"/>
      <c r="Y23" s="7"/>
      <c r="Z23" s="7"/>
      <c r="AB23" s="7"/>
      <c r="AC23" s="7"/>
      <c r="AD23" s="7"/>
      <c r="AE23" s="7"/>
    </row>
    <row r="24" spans="1:31" ht="19.2" x14ac:dyDescent="0.35">
      <c r="A24" s="8">
        <v>19</v>
      </c>
      <c r="B24" s="9" t="s">
        <v>33</v>
      </c>
      <c r="C24" s="10">
        <f t="shared" si="0"/>
        <v>10.1</v>
      </c>
      <c r="D24" s="6">
        <v>0</v>
      </c>
      <c r="E24" s="6">
        <v>10</v>
      </c>
      <c r="F24" s="11">
        <f t="shared" si="1"/>
        <v>7.04</v>
      </c>
      <c r="G24" s="10">
        <v>14</v>
      </c>
      <c r="H24" s="10">
        <f t="shared" si="2"/>
        <v>9.8240000000000016</v>
      </c>
      <c r="I24" s="10" t="s">
        <v>15</v>
      </c>
      <c r="J24" s="6" t="str">
        <f t="shared" si="3"/>
        <v>APROVADO</v>
      </c>
      <c r="K24" s="7">
        <v>0</v>
      </c>
      <c r="L24" s="7">
        <f t="shared" si="6"/>
        <v>0</v>
      </c>
      <c r="M24" s="7">
        <v>0</v>
      </c>
      <c r="N24" s="7">
        <v>0</v>
      </c>
      <c r="O24" s="7">
        <v>15</v>
      </c>
      <c r="P24" s="7">
        <v>6</v>
      </c>
      <c r="Q24" s="7">
        <v>20</v>
      </c>
      <c r="R24" s="7">
        <v>20</v>
      </c>
      <c r="S24" s="7">
        <v>20</v>
      </c>
      <c r="T24" s="7">
        <v>20</v>
      </c>
      <c r="U24" s="7"/>
      <c r="V24" s="7"/>
      <c r="W24" s="7"/>
      <c r="X24" s="7"/>
      <c r="Y24" s="7"/>
      <c r="Z24" s="7"/>
      <c r="AB24" s="7"/>
      <c r="AC24" s="7"/>
      <c r="AD24" s="7"/>
      <c r="AE24" s="7"/>
    </row>
    <row r="25" spans="1:31" ht="19.2" x14ac:dyDescent="0.35">
      <c r="A25" s="8">
        <v>20</v>
      </c>
      <c r="B25" s="9" t="s">
        <v>34</v>
      </c>
      <c r="C25" s="10">
        <f t="shared" si="0"/>
        <v>10.199999999999999</v>
      </c>
      <c r="D25" s="6">
        <v>7</v>
      </c>
      <c r="E25" s="6">
        <v>7.5</v>
      </c>
      <c r="F25" s="11">
        <f t="shared" si="1"/>
        <v>8.43</v>
      </c>
      <c r="G25" s="10">
        <v>12</v>
      </c>
      <c r="H25" s="10">
        <f t="shared" si="2"/>
        <v>9.8580000000000005</v>
      </c>
      <c r="I25" s="10" t="s">
        <v>15</v>
      </c>
      <c r="J25" s="6" t="str">
        <f t="shared" si="3"/>
        <v>APROVADO</v>
      </c>
      <c r="K25" s="7">
        <v>2</v>
      </c>
      <c r="L25" s="7">
        <f t="shared" si="6"/>
        <v>0</v>
      </c>
      <c r="M25" s="7">
        <v>15</v>
      </c>
      <c r="N25" s="7">
        <v>0</v>
      </c>
      <c r="O25" s="7">
        <v>0</v>
      </c>
      <c r="P25" s="7">
        <v>5</v>
      </c>
      <c r="Q25" s="7">
        <v>20</v>
      </c>
      <c r="R25" s="7">
        <v>20</v>
      </c>
      <c r="S25" s="7">
        <v>20</v>
      </c>
      <c r="T25" s="7">
        <v>20</v>
      </c>
      <c r="U25" s="7"/>
      <c r="V25" s="7"/>
      <c r="W25" s="7"/>
      <c r="X25" s="7"/>
      <c r="Y25" s="7"/>
      <c r="Z25" s="7"/>
      <c r="AB25" s="7"/>
      <c r="AC25" s="7"/>
      <c r="AD25" s="7"/>
      <c r="AE25" s="7"/>
    </row>
    <row r="26" spans="1:31" ht="19.2" x14ac:dyDescent="0.35">
      <c r="A26" s="8">
        <v>21</v>
      </c>
      <c r="B26" s="9" t="s">
        <v>35</v>
      </c>
      <c r="C26" s="10">
        <f t="shared" si="0"/>
        <v>12.540000000000001</v>
      </c>
      <c r="D26" s="6">
        <v>9</v>
      </c>
      <c r="E26" s="6">
        <v>12.5</v>
      </c>
      <c r="F26" s="11">
        <f t="shared" si="1"/>
        <v>11.466000000000001</v>
      </c>
      <c r="G26" s="10">
        <v>14</v>
      </c>
      <c r="H26" s="10">
        <f t="shared" si="2"/>
        <v>12.479600000000001</v>
      </c>
      <c r="I26" s="10" t="s">
        <v>15</v>
      </c>
      <c r="J26" s="6" t="str">
        <f t="shared" si="3"/>
        <v>APROVADO</v>
      </c>
      <c r="K26" s="7">
        <v>1</v>
      </c>
      <c r="L26" s="7">
        <f>4*1.1</f>
        <v>4.4000000000000004</v>
      </c>
      <c r="M26" s="7">
        <v>15</v>
      </c>
      <c r="N26" s="7">
        <v>0</v>
      </c>
      <c r="O26" s="7">
        <v>15</v>
      </c>
      <c r="P26" s="7">
        <v>10</v>
      </c>
      <c r="Q26" s="7">
        <v>20</v>
      </c>
      <c r="R26" s="7">
        <v>20</v>
      </c>
      <c r="S26" s="7">
        <v>20</v>
      </c>
      <c r="T26" s="7">
        <v>20</v>
      </c>
      <c r="U26" s="7"/>
      <c r="V26" s="7"/>
      <c r="W26" s="7"/>
      <c r="X26" s="7"/>
      <c r="Y26" s="7"/>
      <c r="Z26" s="7"/>
      <c r="AB26" s="7"/>
      <c r="AC26" s="7"/>
      <c r="AD26" s="7"/>
      <c r="AE26" s="7"/>
    </row>
    <row r="27" spans="1:31" ht="19.2" x14ac:dyDescent="0.35">
      <c r="A27" s="8">
        <v>22</v>
      </c>
      <c r="B27" s="9" t="s">
        <v>36</v>
      </c>
      <c r="C27" s="10">
        <f t="shared" si="0"/>
        <v>10.9</v>
      </c>
      <c r="D27" s="6">
        <v>5</v>
      </c>
      <c r="E27" s="6">
        <v>7.5</v>
      </c>
      <c r="F27" s="11">
        <f t="shared" si="1"/>
        <v>8.11</v>
      </c>
      <c r="G27" s="10">
        <v>12</v>
      </c>
      <c r="H27" s="10">
        <f t="shared" si="2"/>
        <v>9.6660000000000004</v>
      </c>
      <c r="I27" s="10" t="s">
        <v>15</v>
      </c>
      <c r="J27" s="6" t="str">
        <f t="shared" si="3"/>
        <v>APROVADO</v>
      </c>
      <c r="K27" s="7">
        <v>0</v>
      </c>
      <c r="L27" s="7">
        <f>4*1.5</f>
        <v>6</v>
      </c>
      <c r="M27" s="7">
        <v>15</v>
      </c>
      <c r="N27" s="7">
        <v>0</v>
      </c>
      <c r="O27" s="7">
        <v>0</v>
      </c>
      <c r="P27" s="7">
        <v>8</v>
      </c>
      <c r="Q27" s="7">
        <v>20</v>
      </c>
      <c r="R27" s="7">
        <v>20</v>
      </c>
      <c r="S27" s="7">
        <v>20</v>
      </c>
      <c r="T27" s="7">
        <v>20</v>
      </c>
      <c r="U27" s="7"/>
      <c r="V27" s="7"/>
      <c r="W27" s="7"/>
      <c r="X27" s="7"/>
      <c r="Y27" s="7"/>
      <c r="Z27" s="7"/>
      <c r="AB27" s="7"/>
      <c r="AC27" s="7"/>
      <c r="AD27" s="7"/>
      <c r="AE27" s="7"/>
    </row>
    <row r="28" spans="1:31" ht="19.2" x14ac:dyDescent="0.35">
      <c r="A28" s="8">
        <v>23</v>
      </c>
      <c r="B28" s="9" t="s">
        <v>37</v>
      </c>
      <c r="C28" s="10">
        <f t="shared" si="0"/>
        <v>12.6</v>
      </c>
      <c r="D28" s="6">
        <v>14</v>
      </c>
      <c r="E28" s="6">
        <v>7.5</v>
      </c>
      <c r="F28" s="11">
        <f t="shared" si="1"/>
        <v>11.49</v>
      </c>
      <c r="G28" s="10">
        <v>6</v>
      </c>
      <c r="H28" s="10">
        <f t="shared" si="2"/>
        <v>9.2940000000000005</v>
      </c>
      <c r="I28" s="10">
        <v>10</v>
      </c>
      <c r="J28" s="6" t="str">
        <f t="shared" si="3"/>
        <v>APROVADO</v>
      </c>
      <c r="K28" s="7">
        <v>9</v>
      </c>
      <c r="L28" s="7">
        <f>4*0</f>
        <v>0</v>
      </c>
      <c r="M28" s="7">
        <v>15</v>
      </c>
      <c r="N28" s="7">
        <v>15</v>
      </c>
      <c r="O28" s="7">
        <v>0</v>
      </c>
      <c r="P28" s="7">
        <v>7</v>
      </c>
      <c r="Q28" s="7">
        <v>20</v>
      </c>
      <c r="R28" s="7">
        <v>20</v>
      </c>
      <c r="S28" s="7">
        <v>20</v>
      </c>
      <c r="T28" s="7">
        <v>20</v>
      </c>
      <c r="U28" s="7"/>
      <c r="V28" s="7"/>
      <c r="W28" s="7"/>
      <c r="X28" s="7"/>
      <c r="Y28" s="7"/>
      <c r="Z28" s="7"/>
      <c r="AB28" s="7"/>
      <c r="AC28" s="7"/>
      <c r="AD28" s="7"/>
      <c r="AE28" s="7"/>
    </row>
    <row r="29" spans="1:31" ht="19.2" x14ac:dyDescent="0.35">
      <c r="A29" s="8">
        <v>24</v>
      </c>
      <c r="B29" s="9" t="s">
        <v>38</v>
      </c>
      <c r="C29" s="10">
        <f t="shared" si="0"/>
        <v>8.5</v>
      </c>
      <c r="D29" s="6">
        <v>9</v>
      </c>
      <c r="E29" s="6">
        <v>10</v>
      </c>
      <c r="F29" s="11">
        <f t="shared" si="1"/>
        <v>9.1000000000000014</v>
      </c>
      <c r="G29" s="12">
        <v>10</v>
      </c>
      <c r="H29" s="10">
        <f t="shared" si="2"/>
        <v>9.4600000000000009</v>
      </c>
      <c r="I29" s="10" t="s">
        <v>15</v>
      </c>
      <c r="J29" s="6" t="str">
        <f t="shared" si="3"/>
        <v>APROVADO</v>
      </c>
      <c r="K29" s="7">
        <v>3</v>
      </c>
      <c r="L29" s="7">
        <f>4*0.5</f>
        <v>2</v>
      </c>
      <c r="M29" s="7">
        <v>0</v>
      </c>
      <c r="N29" s="7">
        <v>0</v>
      </c>
      <c r="O29" s="7">
        <v>0</v>
      </c>
      <c r="P29" s="7">
        <v>0</v>
      </c>
      <c r="Q29" s="7">
        <v>20</v>
      </c>
      <c r="R29" s="7">
        <v>20</v>
      </c>
      <c r="S29" s="7">
        <v>20</v>
      </c>
      <c r="T29" s="7">
        <v>20</v>
      </c>
      <c r="U29" s="7"/>
      <c r="V29" s="7"/>
      <c r="W29" s="7"/>
      <c r="X29" s="7"/>
      <c r="Y29" s="7"/>
      <c r="Z29" s="7"/>
      <c r="AB29" s="7"/>
      <c r="AC29" s="7"/>
      <c r="AD29" s="7"/>
      <c r="AE29" s="7"/>
    </row>
    <row r="30" spans="1:31" ht="19.2" x14ac:dyDescent="0.35">
      <c r="A30" s="8">
        <v>25</v>
      </c>
      <c r="B30" s="9" t="s">
        <v>39</v>
      </c>
      <c r="C30" s="10">
        <f t="shared" si="0"/>
        <v>12.9</v>
      </c>
      <c r="D30" s="6">
        <v>5</v>
      </c>
      <c r="E30" s="6">
        <v>7.5</v>
      </c>
      <c r="F30" s="11">
        <f t="shared" si="1"/>
        <v>8.91</v>
      </c>
      <c r="G30" s="10">
        <v>10</v>
      </c>
      <c r="H30" s="10">
        <f t="shared" si="2"/>
        <v>9.3460000000000001</v>
      </c>
      <c r="I30" s="10">
        <v>10</v>
      </c>
      <c r="J30" s="6" t="str">
        <f t="shared" si="3"/>
        <v>APROVADO</v>
      </c>
      <c r="K30" s="7">
        <v>14</v>
      </c>
      <c r="L30" s="7">
        <f>4*0</f>
        <v>0</v>
      </c>
      <c r="M30" s="7">
        <v>15</v>
      </c>
      <c r="N30" s="7">
        <v>0</v>
      </c>
      <c r="O30" s="7">
        <v>15</v>
      </c>
      <c r="P30" s="7">
        <v>5</v>
      </c>
      <c r="Q30" s="7">
        <v>20</v>
      </c>
      <c r="R30" s="7">
        <v>20</v>
      </c>
      <c r="S30" s="7">
        <v>20</v>
      </c>
      <c r="T30" s="7">
        <v>20</v>
      </c>
      <c r="U30" s="7"/>
      <c r="V30" s="7"/>
      <c r="W30" s="7"/>
      <c r="X30" s="7"/>
      <c r="Y30" s="7"/>
      <c r="Z30" s="7"/>
      <c r="AB30" s="7"/>
      <c r="AC30" s="7"/>
      <c r="AD30" s="7"/>
      <c r="AE30" s="7"/>
    </row>
    <row r="31" spans="1:31" ht="19.2" x14ac:dyDescent="0.35">
      <c r="A31" s="8">
        <v>26</v>
      </c>
      <c r="B31" s="16" t="s">
        <v>40</v>
      </c>
      <c r="C31" s="10">
        <f t="shared" si="0"/>
        <v>2.8571428571428572</v>
      </c>
      <c r="D31" s="6">
        <v>8</v>
      </c>
      <c r="E31" s="6" t="s">
        <v>15</v>
      </c>
      <c r="F31" s="11">
        <f t="shared" si="1"/>
        <v>3.5428571428571427</v>
      </c>
      <c r="G31" s="10" t="s">
        <v>15</v>
      </c>
      <c r="H31" s="10">
        <f t="shared" si="2"/>
        <v>2.1257142857142854</v>
      </c>
      <c r="I31" s="10" t="s">
        <v>15</v>
      </c>
      <c r="J31" s="6" t="str">
        <f t="shared" si="3"/>
        <v>REPROVADO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20</v>
      </c>
      <c r="R31" s="7"/>
      <c r="S31" s="7"/>
      <c r="T31" s="7"/>
      <c r="U31" s="7"/>
      <c r="V31" s="7"/>
      <c r="W31" s="7"/>
      <c r="X31" s="7"/>
      <c r="Y31" s="7"/>
      <c r="Z31" s="7"/>
      <c r="AB31" s="7"/>
      <c r="AC31" s="7"/>
      <c r="AD31" s="7"/>
      <c r="AE31" s="7"/>
    </row>
    <row r="32" spans="1:31" ht="19.2" x14ac:dyDescent="0.35">
      <c r="A32" s="8">
        <v>27</v>
      </c>
      <c r="B32" s="9" t="s">
        <v>41</v>
      </c>
      <c r="C32" s="10">
        <f t="shared" si="0"/>
        <v>2.8571428571428572</v>
      </c>
      <c r="D32" s="6" t="s">
        <v>15</v>
      </c>
      <c r="E32" s="6">
        <v>5</v>
      </c>
      <c r="F32" s="11">
        <f t="shared" si="1"/>
        <v>2.6428571428571432</v>
      </c>
      <c r="G32" s="10" t="s">
        <v>15</v>
      </c>
      <c r="H32" s="10">
        <f t="shared" si="2"/>
        <v>1.5857142857142859</v>
      </c>
      <c r="I32" s="10" t="s">
        <v>15</v>
      </c>
      <c r="J32" s="6" t="str">
        <f t="shared" si="3"/>
        <v>REPROVADO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20</v>
      </c>
      <c r="R32" s="7"/>
      <c r="S32" s="7"/>
      <c r="T32" s="7"/>
      <c r="U32" s="7"/>
      <c r="V32" s="7"/>
      <c r="W32" s="7"/>
      <c r="X32" s="7"/>
      <c r="Y32" s="7"/>
      <c r="Z32" s="7"/>
      <c r="AB32" s="7"/>
      <c r="AC32" s="7"/>
      <c r="AD32" s="7"/>
      <c r="AE32" s="7"/>
    </row>
    <row r="33" spans="1:31" ht="19.2" x14ac:dyDescent="0.35">
      <c r="A33" s="8">
        <v>28</v>
      </c>
      <c r="B33" s="9" t="s">
        <v>42</v>
      </c>
      <c r="C33" s="10">
        <f t="shared" si="0"/>
        <v>11.040000000000001</v>
      </c>
      <c r="D33" s="6">
        <v>0</v>
      </c>
      <c r="E33" s="6">
        <v>10</v>
      </c>
      <c r="F33" s="11">
        <f t="shared" si="1"/>
        <v>7.4160000000000004</v>
      </c>
      <c r="G33" s="10">
        <v>2</v>
      </c>
      <c r="H33" s="10">
        <f t="shared" si="2"/>
        <v>5.2496</v>
      </c>
      <c r="I33" s="10">
        <v>10</v>
      </c>
      <c r="J33" s="6" t="str">
        <f t="shared" si="3"/>
        <v>APROVADO</v>
      </c>
      <c r="K33" s="7">
        <v>0</v>
      </c>
      <c r="L33" s="7">
        <f>4*0.1</f>
        <v>0.4</v>
      </c>
      <c r="M33" s="7">
        <v>15</v>
      </c>
      <c r="N33" s="7">
        <v>15</v>
      </c>
      <c r="O33" s="7">
        <v>0</v>
      </c>
      <c r="P33" s="7">
        <v>0</v>
      </c>
      <c r="Q33" s="7">
        <v>20</v>
      </c>
      <c r="R33" s="7">
        <v>20</v>
      </c>
      <c r="S33" s="7">
        <v>20</v>
      </c>
      <c r="T33" s="7">
        <v>20</v>
      </c>
      <c r="U33" s="7"/>
      <c r="V33" s="7"/>
      <c r="W33" s="7"/>
      <c r="X33" s="7"/>
      <c r="Y33" s="7"/>
      <c r="Z33" s="7"/>
      <c r="AB33" s="7"/>
      <c r="AC33" s="7"/>
      <c r="AD33" s="7"/>
      <c r="AE33" s="7"/>
    </row>
    <row r="34" spans="1:31" ht="19.2" x14ac:dyDescent="0.35">
      <c r="A34" s="8">
        <v>29</v>
      </c>
      <c r="B34" s="9" t="s">
        <v>43</v>
      </c>
      <c r="C34" s="10">
        <f t="shared" si="0"/>
        <v>14.2</v>
      </c>
      <c r="D34" s="15">
        <v>12</v>
      </c>
      <c r="E34" s="6">
        <v>12.5</v>
      </c>
      <c r="F34" s="11">
        <f t="shared" si="1"/>
        <v>13.03</v>
      </c>
      <c r="G34" s="10">
        <v>10</v>
      </c>
      <c r="H34" s="10">
        <f t="shared" si="2"/>
        <v>11.818</v>
      </c>
      <c r="I34" s="10" t="s">
        <v>15</v>
      </c>
      <c r="J34" s="6" t="str">
        <f t="shared" si="3"/>
        <v>APROVADO</v>
      </c>
      <c r="K34" s="7">
        <v>3</v>
      </c>
      <c r="L34" s="7">
        <f>4*3.5</f>
        <v>14</v>
      </c>
      <c r="M34" s="7">
        <v>15</v>
      </c>
      <c r="N34" s="7">
        <v>15</v>
      </c>
      <c r="O34" s="7">
        <v>15</v>
      </c>
      <c r="P34" s="7">
        <v>0</v>
      </c>
      <c r="Q34" s="7">
        <v>20</v>
      </c>
      <c r="R34" s="7">
        <v>20</v>
      </c>
      <c r="S34" s="7">
        <v>20</v>
      </c>
      <c r="T34" s="7">
        <v>20</v>
      </c>
      <c r="U34" s="7"/>
      <c r="V34" s="7"/>
      <c r="W34" s="7"/>
      <c r="X34" s="7"/>
      <c r="Y34" s="7"/>
      <c r="Z34" s="7"/>
      <c r="AB34" s="7"/>
      <c r="AC34" s="7"/>
      <c r="AD34" s="7"/>
      <c r="AE34" s="7"/>
    </row>
    <row r="35" spans="1:31" ht="19.2" x14ac:dyDescent="0.35">
      <c r="A35" s="8">
        <v>30</v>
      </c>
      <c r="B35" s="9" t="s">
        <v>44</v>
      </c>
      <c r="C35" s="10">
        <f t="shared" si="0"/>
        <v>12</v>
      </c>
      <c r="D35" s="15">
        <v>9</v>
      </c>
      <c r="E35" s="6">
        <v>5</v>
      </c>
      <c r="F35" s="11">
        <f t="shared" si="1"/>
        <v>9</v>
      </c>
      <c r="G35" s="10">
        <v>6</v>
      </c>
      <c r="H35" s="10">
        <f t="shared" si="2"/>
        <v>7.8</v>
      </c>
      <c r="I35" s="10">
        <v>10</v>
      </c>
      <c r="J35" s="6" t="str">
        <f t="shared" si="3"/>
        <v>APROVADO</v>
      </c>
      <c r="K35" s="7">
        <v>4</v>
      </c>
      <c r="L35" s="7">
        <f>4*0.5</f>
        <v>2</v>
      </c>
      <c r="M35" s="7">
        <v>0</v>
      </c>
      <c r="N35" s="7">
        <v>15</v>
      </c>
      <c r="O35" s="7">
        <v>15</v>
      </c>
      <c r="P35" s="7">
        <v>4</v>
      </c>
      <c r="Q35" s="7">
        <v>20</v>
      </c>
      <c r="R35" s="7">
        <v>20</v>
      </c>
      <c r="S35" s="7">
        <v>20</v>
      </c>
      <c r="T35" s="7">
        <v>20</v>
      </c>
      <c r="U35" s="7"/>
      <c r="V35" s="7"/>
      <c r="W35" s="7"/>
      <c r="X35" s="7"/>
      <c r="Y35" s="7"/>
      <c r="Z35" s="7"/>
      <c r="AB35" s="7"/>
      <c r="AC35" s="7"/>
      <c r="AD35" s="7"/>
      <c r="AE35" s="7"/>
    </row>
    <row r="36" spans="1:31" ht="19.2" x14ac:dyDescent="0.35">
      <c r="A36" s="8">
        <v>31</v>
      </c>
      <c r="B36" s="9" t="s">
        <v>45</v>
      </c>
      <c r="C36" s="10">
        <f t="shared" si="0"/>
        <v>13.459999999999999</v>
      </c>
      <c r="D36" s="15">
        <v>6</v>
      </c>
      <c r="E36" s="6">
        <v>10</v>
      </c>
      <c r="F36" s="11">
        <f t="shared" si="1"/>
        <v>10.184000000000001</v>
      </c>
      <c r="G36" s="10">
        <v>8</v>
      </c>
      <c r="H36" s="10">
        <f t="shared" si="2"/>
        <v>9.3104000000000013</v>
      </c>
      <c r="I36" s="10">
        <v>10</v>
      </c>
      <c r="J36" s="6" t="str">
        <f t="shared" si="3"/>
        <v>APROVADO</v>
      </c>
      <c r="K36" s="7">
        <v>0</v>
      </c>
      <c r="L36" s="7">
        <f>4*0.4</f>
        <v>1.6</v>
      </c>
      <c r="M36" s="7">
        <v>15</v>
      </c>
      <c r="N36" s="7">
        <v>15</v>
      </c>
      <c r="O36" s="7">
        <v>15</v>
      </c>
      <c r="P36" s="7">
        <v>8</v>
      </c>
      <c r="Q36" s="7">
        <v>20</v>
      </c>
      <c r="R36" s="7">
        <v>20</v>
      </c>
      <c r="S36" s="7">
        <v>20</v>
      </c>
      <c r="T36" s="7">
        <v>20</v>
      </c>
      <c r="U36" s="7"/>
      <c r="V36" s="7"/>
      <c r="W36" s="7"/>
      <c r="X36" s="7"/>
      <c r="Y36" s="7"/>
      <c r="Z36" s="7"/>
      <c r="AB36" s="7"/>
      <c r="AC36" s="7"/>
      <c r="AD36" s="7"/>
      <c r="AE36" s="7"/>
    </row>
    <row r="37" spans="1:31" ht="15.75" customHeight="1" x14ac:dyDescent="0.35">
      <c r="A37" s="8">
        <v>32</v>
      </c>
      <c r="B37" s="9" t="s">
        <v>46</v>
      </c>
      <c r="C37" s="10">
        <f t="shared" si="0"/>
        <v>12.86</v>
      </c>
      <c r="D37" s="6">
        <v>2</v>
      </c>
      <c r="E37" s="6">
        <v>5</v>
      </c>
      <c r="F37" s="11">
        <f t="shared" si="1"/>
        <v>7.2439999999999998</v>
      </c>
      <c r="G37" s="10">
        <v>12</v>
      </c>
      <c r="H37" s="10">
        <f t="shared" si="2"/>
        <v>9.1463999999999999</v>
      </c>
      <c r="I37" s="10">
        <v>10</v>
      </c>
      <c r="J37" s="6" t="str">
        <f t="shared" si="3"/>
        <v>APROVADO</v>
      </c>
      <c r="K37" s="7">
        <v>0</v>
      </c>
      <c r="L37" s="7">
        <f>4*2.65</f>
        <v>10.6</v>
      </c>
      <c r="M37" s="7">
        <v>0</v>
      </c>
      <c r="N37" s="7">
        <v>15</v>
      </c>
      <c r="O37" s="7">
        <v>15</v>
      </c>
      <c r="P37" s="7">
        <v>8</v>
      </c>
      <c r="Q37" s="7">
        <v>20</v>
      </c>
      <c r="R37" s="7">
        <v>20</v>
      </c>
      <c r="S37" s="7">
        <v>20</v>
      </c>
      <c r="T37" s="7">
        <v>20</v>
      </c>
      <c r="U37" s="7"/>
      <c r="V37" s="7"/>
      <c r="W37" s="7"/>
      <c r="X37" s="7"/>
      <c r="Y37" s="7"/>
      <c r="Z37" s="7"/>
      <c r="AB37" s="7"/>
      <c r="AC37" s="7"/>
      <c r="AD37" s="7"/>
      <c r="AE37" s="7"/>
    </row>
    <row r="38" spans="1:31" ht="15.75" customHeight="1" x14ac:dyDescent="0.35">
      <c r="A38" s="8">
        <v>33</v>
      </c>
      <c r="B38" s="9" t="s">
        <v>47</v>
      </c>
      <c r="C38" s="10">
        <f t="shared" si="0"/>
        <v>9.8000000000000007</v>
      </c>
      <c r="D38" s="6">
        <v>6</v>
      </c>
      <c r="E38" s="6">
        <v>10</v>
      </c>
      <c r="F38" s="11">
        <f t="shared" si="1"/>
        <v>8.7200000000000006</v>
      </c>
      <c r="G38" s="10">
        <v>2</v>
      </c>
      <c r="H38" s="10">
        <f t="shared" si="2"/>
        <v>6.032</v>
      </c>
      <c r="I38" s="10">
        <v>10</v>
      </c>
      <c r="J38" s="6" t="str">
        <f t="shared" si="3"/>
        <v>APROVADO</v>
      </c>
      <c r="K38" s="7">
        <v>0</v>
      </c>
      <c r="L38" s="7">
        <f>4*0.75</f>
        <v>3</v>
      </c>
      <c r="M38" s="7">
        <v>15</v>
      </c>
      <c r="N38" s="7">
        <v>0</v>
      </c>
      <c r="O38" s="7">
        <v>0</v>
      </c>
      <c r="P38" s="7">
        <v>0</v>
      </c>
      <c r="Q38" s="7">
        <v>20</v>
      </c>
      <c r="R38" s="7">
        <v>20</v>
      </c>
      <c r="S38" s="7">
        <v>20</v>
      </c>
      <c r="T38" s="7">
        <v>20</v>
      </c>
      <c r="U38" s="7"/>
      <c r="V38" s="7"/>
      <c r="W38" s="7"/>
      <c r="X38" s="7"/>
      <c r="Y38" s="7"/>
      <c r="Z38" s="7"/>
      <c r="AB38" s="7"/>
      <c r="AC38" s="7"/>
      <c r="AD38" s="7"/>
      <c r="AE38" s="7"/>
    </row>
    <row r="39" spans="1:31" ht="15.75" customHeight="1" x14ac:dyDescent="0.35">
      <c r="A39" s="8">
        <v>34</v>
      </c>
      <c r="B39" s="9" t="s">
        <v>48</v>
      </c>
      <c r="C39" s="10">
        <f t="shared" si="0"/>
        <v>13.6</v>
      </c>
      <c r="D39" s="6">
        <v>2</v>
      </c>
      <c r="E39" s="6">
        <v>12.5</v>
      </c>
      <c r="F39" s="11">
        <f t="shared" si="1"/>
        <v>9.7899999999999991</v>
      </c>
      <c r="G39" s="10">
        <v>8</v>
      </c>
      <c r="H39" s="10">
        <f t="shared" si="2"/>
        <v>9.0739999999999998</v>
      </c>
      <c r="I39" s="10">
        <v>10</v>
      </c>
      <c r="J39" s="6" t="str">
        <f t="shared" si="3"/>
        <v>APROVADO</v>
      </c>
      <c r="K39" s="7">
        <v>3</v>
      </c>
      <c r="L39" s="7">
        <f>4*1</f>
        <v>4</v>
      </c>
      <c r="M39" s="7">
        <v>15</v>
      </c>
      <c r="N39" s="7">
        <v>15</v>
      </c>
      <c r="O39" s="7">
        <v>15</v>
      </c>
      <c r="P39" s="7">
        <v>4</v>
      </c>
      <c r="Q39" s="7">
        <v>20</v>
      </c>
      <c r="R39" s="7">
        <v>20</v>
      </c>
      <c r="S39" s="7">
        <v>20</v>
      </c>
      <c r="T39" s="7">
        <v>20</v>
      </c>
      <c r="U39" s="7"/>
      <c r="V39" s="7"/>
      <c r="W39" s="7"/>
      <c r="X39" s="7"/>
      <c r="Y39" s="7"/>
      <c r="Z39" s="7"/>
      <c r="AB39" s="7"/>
      <c r="AC39" s="7"/>
      <c r="AD39" s="7"/>
      <c r="AE39" s="7"/>
    </row>
    <row r="40" spans="1:31" ht="15.75" customHeight="1" x14ac:dyDescent="0.35">
      <c r="A40" s="8">
        <v>35</v>
      </c>
      <c r="B40" s="9" t="s">
        <v>49</v>
      </c>
      <c r="C40" s="10">
        <f t="shared" si="0"/>
        <v>13.2</v>
      </c>
      <c r="D40" s="6">
        <v>8</v>
      </c>
      <c r="E40" s="6">
        <v>5</v>
      </c>
      <c r="F40" s="11">
        <f t="shared" si="1"/>
        <v>9.18</v>
      </c>
      <c r="G40" s="10">
        <v>8</v>
      </c>
      <c r="H40" s="10">
        <f t="shared" si="2"/>
        <v>8.7080000000000002</v>
      </c>
      <c r="I40" s="10">
        <v>10</v>
      </c>
      <c r="J40" s="6" t="str">
        <f t="shared" si="3"/>
        <v>APROVADO</v>
      </c>
      <c r="K40" s="7">
        <v>8</v>
      </c>
      <c r="L40" s="7">
        <f>4*0.5</f>
        <v>2</v>
      </c>
      <c r="M40" s="7">
        <v>15</v>
      </c>
      <c r="N40" s="7">
        <v>0</v>
      </c>
      <c r="O40" s="7">
        <v>15</v>
      </c>
      <c r="P40" s="7">
        <v>12</v>
      </c>
      <c r="Q40" s="7">
        <v>20</v>
      </c>
      <c r="R40" s="7">
        <v>20</v>
      </c>
      <c r="S40" s="7">
        <v>20</v>
      </c>
      <c r="T40" s="7">
        <v>20</v>
      </c>
      <c r="U40" s="7"/>
      <c r="V40" s="7"/>
      <c r="W40" s="7"/>
      <c r="X40" s="7"/>
      <c r="Y40" s="7"/>
      <c r="Z40" s="7"/>
      <c r="AB40" s="7"/>
      <c r="AC40" s="7"/>
      <c r="AD40" s="7"/>
      <c r="AE40" s="7"/>
    </row>
    <row r="41" spans="1:31" ht="15.75" customHeight="1" x14ac:dyDescent="0.35">
      <c r="A41" s="8">
        <v>36</v>
      </c>
      <c r="B41" s="9" t="s">
        <v>50</v>
      </c>
      <c r="C41" s="10">
        <f t="shared" si="0"/>
        <v>10.14</v>
      </c>
      <c r="D41" s="6">
        <v>7</v>
      </c>
      <c r="E41" s="6">
        <v>7.5</v>
      </c>
      <c r="F41" s="11">
        <f t="shared" si="1"/>
        <v>8.4059999999999988</v>
      </c>
      <c r="G41" s="10">
        <v>8</v>
      </c>
      <c r="H41" s="10">
        <f t="shared" si="2"/>
        <v>8.2435999999999989</v>
      </c>
      <c r="I41" s="10">
        <v>10</v>
      </c>
      <c r="J41" s="6" t="str">
        <f t="shared" si="3"/>
        <v>APROVADO</v>
      </c>
      <c r="K41" s="7">
        <v>6</v>
      </c>
      <c r="L41" s="7">
        <f>4*0.1</f>
        <v>0.4</v>
      </c>
      <c r="M41" s="7">
        <v>15</v>
      </c>
      <c r="N41" s="7">
        <v>0</v>
      </c>
      <c r="O41" s="7">
        <v>0</v>
      </c>
      <c r="P41" s="7">
        <v>0</v>
      </c>
      <c r="Q41" s="7">
        <v>20</v>
      </c>
      <c r="R41" s="7">
        <v>20</v>
      </c>
      <c r="S41" s="7">
        <v>20</v>
      </c>
      <c r="T41" s="7">
        <v>20</v>
      </c>
      <c r="U41" s="7"/>
      <c r="V41" s="7"/>
      <c r="W41" s="7"/>
      <c r="X41" s="7"/>
      <c r="Y41" s="7"/>
      <c r="Z41" s="7"/>
      <c r="AB41" s="7"/>
      <c r="AC41" s="7"/>
      <c r="AD41" s="7"/>
      <c r="AE41" s="7"/>
    </row>
    <row r="42" spans="1:31" ht="15.75" customHeight="1" x14ac:dyDescent="0.35">
      <c r="A42" s="8">
        <v>37</v>
      </c>
      <c r="B42" s="9" t="s">
        <v>51</v>
      </c>
      <c r="C42" s="10">
        <f t="shared" si="0"/>
        <v>10.050000000000001</v>
      </c>
      <c r="D42" s="6">
        <v>1</v>
      </c>
      <c r="E42" s="6">
        <v>7.5</v>
      </c>
      <c r="F42" s="11">
        <f t="shared" si="1"/>
        <v>6.57</v>
      </c>
      <c r="G42" s="10">
        <v>4</v>
      </c>
      <c r="H42" s="10">
        <f t="shared" si="2"/>
        <v>5.5419999999999998</v>
      </c>
      <c r="I42" s="10">
        <v>10</v>
      </c>
      <c r="J42" s="6" t="str">
        <f t="shared" si="3"/>
        <v>APROVADO</v>
      </c>
      <c r="K42" s="7">
        <v>0</v>
      </c>
      <c r="L42" s="7">
        <v>0</v>
      </c>
      <c r="M42" s="7">
        <v>0</v>
      </c>
      <c r="N42" s="7">
        <v>0</v>
      </c>
      <c r="O42" s="7">
        <v>15</v>
      </c>
      <c r="P42" s="7">
        <v>5.5</v>
      </c>
      <c r="Q42" s="7">
        <v>20</v>
      </c>
      <c r="R42" s="7">
        <v>20</v>
      </c>
      <c r="S42" s="7">
        <v>20</v>
      </c>
      <c r="T42" s="7">
        <v>20</v>
      </c>
      <c r="U42" s="7"/>
      <c r="V42" s="7"/>
      <c r="W42" s="7"/>
      <c r="X42" s="7"/>
      <c r="Y42" s="7"/>
      <c r="Z42" s="7"/>
      <c r="AB42" s="7"/>
      <c r="AC42" s="7"/>
      <c r="AD42" s="7"/>
      <c r="AE42" s="7"/>
    </row>
    <row r="43" spans="1:31" ht="15.75" customHeight="1" x14ac:dyDescent="0.35">
      <c r="A43" s="17"/>
      <c r="B43" s="18"/>
      <c r="C43" s="19"/>
      <c r="D43" s="20"/>
      <c r="E43" s="21">
        <f>COUNTIF(E6:E42,"F")</f>
        <v>2</v>
      </c>
      <c r="F43" s="22" t="s">
        <v>52</v>
      </c>
      <c r="G43" s="19">
        <f>A42-COUNTIF(G6:G42,"F")</f>
        <v>32</v>
      </c>
      <c r="H43" s="19"/>
      <c r="I43" s="19" t="s">
        <v>53</v>
      </c>
      <c r="J43" s="20">
        <f>COUNTIF(J6:J42,"REPROVADO")</f>
        <v>6</v>
      </c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B43" s="23"/>
      <c r="AC43" s="23"/>
      <c r="AD43" s="23"/>
      <c r="AE43" s="23"/>
    </row>
    <row r="44" spans="1:31" ht="15.75" customHeight="1" x14ac:dyDescent="0.3">
      <c r="A44" s="24"/>
      <c r="B44" s="24" t="s">
        <v>54</v>
      </c>
      <c r="C44" s="25"/>
      <c r="D44" s="25"/>
      <c r="E44" s="25"/>
      <c r="F44" s="25"/>
      <c r="G44" s="25"/>
      <c r="H44" s="25"/>
      <c r="I44" s="25" t="s">
        <v>55</v>
      </c>
      <c r="J44" s="25">
        <f>COUNTIF(J6:J42,"Recurso")</f>
        <v>0</v>
      </c>
      <c r="K44" s="25"/>
      <c r="L44" s="25"/>
      <c r="M44" s="25"/>
      <c r="N44" s="25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B44" s="24"/>
      <c r="AC44" s="24"/>
      <c r="AD44" s="24"/>
      <c r="AE44" s="24"/>
    </row>
    <row r="45" spans="1:31" ht="15.75" customHeight="1" x14ac:dyDescent="0.3">
      <c r="A45" s="24"/>
      <c r="B45" s="24"/>
      <c r="C45" s="25"/>
      <c r="D45" s="25"/>
      <c r="E45" s="25"/>
      <c r="F45" s="25"/>
      <c r="G45" s="25"/>
      <c r="H45" s="25"/>
      <c r="I45" s="25" t="s">
        <v>56</v>
      </c>
      <c r="J45" s="25">
        <f>A42-J44-COUNTIF(J6:J42,"REPROVADO")</f>
        <v>31</v>
      </c>
      <c r="K45" s="25"/>
      <c r="L45" s="25"/>
      <c r="M45" s="25"/>
      <c r="N45" s="25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B45" s="24"/>
      <c r="AC45" s="24"/>
      <c r="AD45" s="24"/>
      <c r="AE45" s="24"/>
    </row>
    <row r="46" spans="1:31" ht="15.75" customHeight="1" x14ac:dyDescent="0.3">
      <c r="A46" s="24"/>
      <c r="B46" s="24" t="s">
        <v>57</v>
      </c>
      <c r="C46" s="25"/>
      <c r="D46" s="25"/>
      <c r="E46" s="25"/>
      <c r="F46" s="25">
        <f>36/2</f>
        <v>18</v>
      </c>
      <c r="G46" s="25"/>
      <c r="H46" s="25"/>
      <c r="I46" s="25"/>
      <c r="J46" s="25"/>
      <c r="K46" s="25"/>
      <c r="L46" s="25"/>
      <c r="M46" s="25"/>
      <c r="N46" s="25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B46" s="24"/>
      <c r="AC46" s="24"/>
      <c r="AD46" s="24"/>
      <c r="AE46" s="24"/>
    </row>
    <row r="47" spans="1:31" ht="15.75" customHeight="1" x14ac:dyDescent="0.3">
      <c r="A47" s="24"/>
      <c r="B47" s="24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B47" s="24"/>
      <c r="AC47" s="24"/>
      <c r="AD47" s="24"/>
      <c r="AE47" s="24"/>
    </row>
    <row r="48" spans="1:31" ht="15.75" customHeight="1" x14ac:dyDescent="0.3">
      <c r="A48" s="24"/>
      <c r="B48" s="26" t="s">
        <v>58</v>
      </c>
      <c r="C48" s="27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B48" s="24"/>
      <c r="AC48" s="24"/>
      <c r="AD48" s="24"/>
      <c r="AE48" s="24"/>
    </row>
    <row r="49" spans="1:31" ht="15.75" customHeight="1" x14ac:dyDescent="0.3">
      <c r="A49" s="24"/>
      <c r="B49" s="24"/>
      <c r="C49" s="25"/>
      <c r="D49" s="25"/>
      <c r="E49" s="25"/>
      <c r="F49" s="25"/>
      <c r="G49" s="25"/>
      <c r="H49" s="25"/>
      <c r="I49" s="25"/>
      <c r="J49" s="25">
        <f>19*2</f>
        <v>38</v>
      </c>
      <c r="K49" s="25"/>
      <c r="L49" s="25"/>
      <c r="M49" s="25"/>
      <c r="N49" s="25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B49" s="24"/>
      <c r="AC49" s="24"/>
      <c r="AD49" s="24"/>
      <c r="AE49" s="24"/>
    </row>
    <row r="50" spans="1:31" ht="15.75" customHeight="1" x14ac:dyDescent="0.3">
      <c r="A50" s="24"/>
      <c r="B50" s="24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B50" s="24"/>
      <c r="AC50" s="24"/>
      <c r="AD50" s="24"/>
      <c r="AE50" s="24"/>
    </row>
    <row r="51" spans="1:31" ht="15.75" customHeight="1" x14ac:dyDescent="0.3">
      <c r="A51" s="24"/>
      <c r="B51" s="24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B51" s="24"/>
      <c r="AC51" s="24"/>
      <c r="AD51" s="24"/>
      <c r="AE51" s="24"/>
    </row>
    <row r="52" spans="1:31" ht="15.75" customHeight="1" x14ac:dyDescent="0.3">
      <c r="A52" s="24"/>
      <c r="B52" s="24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B52" s="24"/>
      <c r="AC52" s="24"/>
      <c r="AD52" s="24"/>
      <c r="AE52" s="24"/>
    </row>
    <row r="53" spans="1:31" ht="15.75" customHeight="1" x14ac:dyDescent="0.3">
      <c r="A53" s="24"/>
      <c r="B53" s="24"/>
      <c r="C53" s="25"/>
      <c r="D53" s="28"/>
      <c r="E53" s="24"/>
      <c r="F53" s="24"/>
      <c r="G53" s="24"/>
      <c r="H53" s="24"/>
      <c r="I53" s="24"/>
      <c r="J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B53" s="24"/>
      <c r="AC53" s="24"/>
      <c r="AD53" s="24"/>
      <c r="AE53" s="24"/>
    </row>
    <row r="54" spans="1:31" ht="15.75" customHeight="1" x14ac:dyDescent="0.3">
      <c r="A54" s="24"/>
      <c r="B54" s="24"/>
      <c r="C54" s="25"/>
      <c r="D54" s="24"/>
      <c r="E54" s="24"/>
      <c r="F54" s="24"/>
      <c r="G54" s="24"/>
      <c r="H54" s="24"/>
      <c r="I54" s="24"/>
      <c r="J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B54" s="24"/>
      <c r="AC54" s="24"/>
      <c r="AD54" s="24"/>
      <c r="AE54" s="24"/>
    </row>
    <row r="55" spans="1:31" ht="15.75" customHeight="1" x14ac:dyDescent="0.3">
      <c r="A55" s="24"/>
      <c r="B55" s="24"/>
      <c r="C55" s="25"/>
      <c r="D55" s="24"/>
      <c r="E55" s="24"/>
      <c r="F55" s="24"/>
      <c r="G55" s="24"/>
      <c r="H55" s="24"/>
      <c r="I55" s="24"/>
      <c r="J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B55" s="24"/>
      <c r="AC55" s="24"/>
      <c r="AD55" s="24"/>
      <c r="AE55" s="24"/>
    </row>
    <row r="56" spans="1:31" ht="15.75" customHeight="1" x14ac:dyDescent="0.3">
      <c r="A56" s="24"/>
      <c r="B56" s="24"/>
      <c r="C56" s="25"/>
      <c r="D56" s="24"/>
      <c r="E56" s="24"/>
      <c r="F56" s="24"/>
      <c r="G56" s="24"/>
      <c r="H56" s="24"/>
      <c r="I56" s="24"/>
      <c r="J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B56" s="24"/>
      <c r="AC56" s="24"/>
      <c r="AD56" s="24"/>
      <c r="AE56" s="24"/>
    </row>
    <row r="57" spans="1:31" ht="15.75" customHeight="1" x14ac:dyDescent="0.3">
      <c r="A57" s="24"/>
      <c r="B57" s="24"/>
      <c r="C57" s="25"/>
      <c r="D57" s="24"/>
      <c r="E57" s="24"/>
      <c r="F57" s="24"/>
      <c r="G57" s="24"/>
      <c r="H57" s="24"/>
      <c r="I57" s="24"/>
      <c r="J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B57" s="24"/>
      <c r="AC57" s="24"/>
      <c r="AD57" s="24"/>
      <c r="AE57" s="24"/>
    </row>
    <row r="58" spans="1:31" ht="15.75" customHeight="1" x14ac:dyDescent="0.3">
      <c r="A58" s="24"/>
      <c r="B58" s="24"/>
      <c r="C58" s="25"/>
      <c r="D58" s="24"/>
      <c r="E58" s="24"/>
      <c r="F58" s="24"/>
      <c r="G58" s="24"/>
      <c r="H58" s="24"/>
      <c r="I58" s="24"/>
      <c r="J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B58" s="24"/>
      <c r="AC58" s="24"/>
      <c r="AD58" s="24"/>
      <c r="AE58" s="24"/>
    </row>
    <row r="59" spans="1:31" ht="15.75" customHeight="1" x14ac:dyDescent="0.3">
      <c r="A59" s="24"/>
      <c r="B59" s="24"/>
      <c r="C59" s="25"/>
      <c r="D59" s="24"/>
      <c r="E59" s="24"/>
      <c r="F59" s="24"/>
      <c r="G59" s="24"/>
      <c r="H59" s="24"/>
      <c r="I59" s="24"/>
      <c r="J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B59" s="24"/>
      <c r="AC59" s="24"/>
      <c r="AD59" s="24"/>
      <c r="AE59" s="24"/>
    </row>
    <row r="60" spans="1:31" ht="15.75" customHeight="1" x14ac:dyDescent="0.3">
      <c r="A60" s="24"/>
      <c r="B60" s="24"/>
      <c r="C60" s="25"/>
      <c r="D60" s="24"/>
      <c r="E60" s="24"/>
      <c r="F60" s="24"/>
      <c r="G60" s="24"/>
      <c r="H60" s="24"/>
      <c r="I60" s="24"/>
      <c r="J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B60" s="24"/>
      <c r="AC60" s="24"/>
      <c r="AD60" s="24"/>
      <c r="AE60" s="24"/>
    </row>
    <row r="61" spans="1:31" ht="15.75" customHeight="1" x14ac:dyDescent="0.3">
      <c r="A61" s="24"/>
      <c r="B61" s="24"/>
      <c r="C61" s="25"/>
      <c r="D61" s="24"/>
      <c r="E61" s="24"/>
      <c r="F61" s="24"/>
      <c r="G61" s="24"/>
      <c r="H61" s="24"/>
      <c r="I61" s="24"/>
      <c r="J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B61" s="24"/>
      <c r="AC61" s="24"/>
      <c r="AD61" s="24"/>
      <c r="AE61" s="24"/>
    </row>
    <row r="62" spans="1:31" ht="15.75" customHeight="1" x14ac:dyDescent="0.3">
      <c r="A62" s="24"/>
      <c r="B62" s="24"/>
      <c r="C62" s="25"/>
      <c r="D62" s="24"/>
      <c r="E62" s="24"/>
      <c r="F62" s="24"/>
      <c r="G62" s="24"/>
      <c r="H62" s="24"/>
      <c r="I62" s="24"/>
      <c r="J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B62" s="24"/>
      <c r="AC62" s="24"/>
      <c r="AD62" s="24"/>
      <c r="AE62" s="24"/>
    </row>
    <row r="63" spans="1:31" ht="15.75" customHeight="1" x14ac:dyDescent="0.3">
      <c r="A63" s="24"/>
      <c r="B63" s="24"/>
      <c r="C63" s="25"/>
      <c r="D63" s="24"/>
      <c r="E63" s="24"/>
      <c r="F63" s="24"/>
      <c r="G63" s="24"/>
      <c r="H63" s="24"/>
      <c r="I63" s="24"/>
      <c r="J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B63" s="24"/>
      <c r="AC63" s="24"/>
      <c r="AD63" s="24"/>
      <c r="AE63" s="24"/>
    </row>
    <row r="64" spans="1:31" ht="15.75" customHeight="1" x14ac:dyDescent="0.3">
      <c r="A64" s="24"/>
      <c r="B64" s="24"/>
      <c r="C64" s="25"/>
      <c r="D64" s="24"/>
      <c r="E64" s="24"/>
      <c r="F64" s="24"/>
      <c r="G64" s="24"/>
      <c r="H64" s="24"/>
      <c r="I64" s="24"/>
      <c r="J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B64" s="24"/>
      <c r="AC64" s="24"/>
      <c r="AD64" s="24"/>
      <c r="AE64" s="24"/>
    </row>
    <row r="65" spans="1:31" ht="15.75" customHeight="1" x14ac:dyDescent="0.3">
      <c r="A65" s="24"/>
      <c r="B65" s="24"/>
      <c r="C65" s="25"/>
      <c r="D65" s="24"/>
      <c r="E65" s="24"/>
      <c r="F65" s="24"/>
      <c r="G65" s="24"/>
      <c r="H65" s="24"/>
      <c r="I65" s="24"/>
      <c r="J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B65" s="24"/>
      <c r="AC65" s="24"/>
      <c r="AD65" s="24"/>
      <c r="AE65" s="24"/>
    </row>
    <row r="66" spans="1:31" ht="15.75" customHeight="1" x14ac:dyDescent="0.3">
      <c r="A66" s="24"/>
      <c r="B66" s="24"/>
      <c r="C66" s="25"/>
      <c r="D66" s="24"/>
      <c r="E66" s="24"/>
      <c r="F66" s="24"/>
      <c r="G66" s="24"/>
      <c r="H66" s="24"/>
      <c r="I66" s="24"/>
      <c r="J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B66" s="24"/>
      <c r="AC66" s="24"/>
      <c r="AD66" s="24"/>
      <c r="AE66" s="24"/>
    </row>
    <row r="67" spans="1:31" ht="15.75" customHeight="1" x14ac:dyDescent="0.3">
      <c r="A67" s="24"/>
      <c r="B67" s="24"/>
      <c r="C67" s="25"/>
      <c r="D67" s="24"/>
      <c r="E67" s="24"/>
      <c r="F67" s="24"/>
      <c r="G67" s="24"/>
      <c r="H67" s="24"/>
      <c r="I67" s="24"/>
      <c r="J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B67" s="24"/>
      <c r="AC67" s="24"/>
      <c r="AD67" s="24"/>
      <c r="AE67" s="24"/>
    </row>
    <row r="68" spans="1:31" ht="15.75" customHeight="1" x14ac:dyDescent="0.3">
      <c r="A68" s="24"/>
      <c r="B68" s="24"/>
      <c r="C68" s="25"/>
      <c r="D68" s="24"/>
      <c r="E68" s="24"/>
      <c r="F68" s="24"/>
      <c r="G68" s="24"/>
      <c r="H68" s="24"/>
      <c r="I68" s="24"/>
      <c r="J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B68" s="24"/>
      <c r="AC68" s="24"/>
      <c r="AD68" s="24"/>
      <c r="AE68" s="24"/>
    </row>
    <row r="69" spans="1:31" ht="15.75" customHeight="1" x14ac:dyDescent="0.3">
      <c r="A69" s="24"/>
      <c r="B69" s="24"/>
      <c r="C69" s="25"/>
      <c r="D69" s="24"/>
      <c r="E69" s="24"/>
      <c r="F69" s="24"/>
      <c r="G69" s="24"/>
      <c r="H69" s="24"/>
      <c r="I69" s="24"/>
      <c r="J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B69" s="24"/>
      <c r="AC69" s="24"/>
      <c r="AD69" s="24"/>
      <c r="AE69" s="24"/>
    </row>
    <row r="70" spans="1:31" ht="15.75" customHeight="1" x14ac:dyDescent="0.3">
      <c r="A70" s="24"/>
      <c r="B70" s="24"/>
      <c r="C70" s="25"/>
      <c r="D70" s="28"/>
      <c r="E70" s="24"/>
      <c r="F70" s="24"/>
      <c r="G70" s="24"/>
      <c r="H70" s="24"/>
      <c r="I70" s="24"/>
      <c r="J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B70" s="24"/>
      <c r="AC70" s="24"/>
      <c r="AD70" s="24"/>
      <c r="AE70" s="24"/>
    </row>
    <row r="71" spans="1:31" ht="15.75" customHeight="1" x14ac:dyDescent="0.3">
      <c r="A71" s="24"/>
      <c r="B71" s="24"/>
      <c r="C71" s="25"/>
      <c r="D71" s="25"/>
      <c r="E71" s="24"/>
      <c r="F71" s="24"/>
      <c r="G71" s="24"/>
      <c r="H71" s="24"/>
      <c r="I71" s="24"/>
      <c r="J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B71" s="24"/>
      <c r="AC71" s="24"/>
      <c r="AD71" s="24"/>
      <c r="AE71" s="24"/>
    </row>
    <row r="72" spans="1:31" ht="15.75" customHeight="1" x14ac:dyDescent="0.3">
      <c r="A72" s="24"/>
      <c r="B72" s="24"/>
      <c r="C72" s="25"/>
      <c r="D72" s="24"/>
      <c r="E72" s="24"/>
      <c r="F72" s="24"/>
      <c r="G72" s="24"/>
      <c r="H72" s="24"/>
      <c r="I72" s="24"/>
      <c r="J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B72" s="24"/>
      <c r="AC72" s="24"/>
      <c r="AD72" s="24"/>
      <c r="AE72" s="24"/>
    </row>
    <row r="73" spans="1:31" ht="15.75" customHeight="1" x14ac:dyDescent="0.3">
      <c r="A73" s="24"/>
      <c r="B73" s="24"/>
      <c r="C73" s="25"/>
      <c r="D73" s="24"/>
      <c r="E73" s="24"/>
      <c r="F73" s="24"/>
      <c r="G73" s="24"/>
      <c r="H73" s="24"/>
      <c r="I73" s="24"/>
      <c r="J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B73" s="24"/>
      <c r="AC73" s="24"/>
      <c r="AD73" s="24"/>
      <c r="AE73" s="24"/>
    </row>
    <row r="74" spans="1:31" ht="15.75" customHeight="1" x14ac:dyDescent="0.3">
      <c r="A74" s="24"/>
      <c r="B74" s="24"/>
      <c r="C74" s="25"/>
      <c r="D74" s="28"/>
      <c r="E74" s="24"/>
      <c r="F74" s="24"/>
      <c r="G74" s="24"/>
      <c r="H74" s="24"/>
      <c r="I74" s="24"/>
      <c r="J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B74" s="24"/>
      <c r="AC74" s="24"/>
      <c r="AD74" s="24"/>
      <c r="AE74" s="24"/>
    </row>
    <row r="75" spans="1:31" ht="15.75" customHeight="1" x14ac:dyDescent="0.3"/>
    <row r="76" spans="1:31" ht="15.75" customHeight="1" x14ac:dyDescent="0.3"/>
    <row r="77" spans="1:31" ht="15.75" customHeight="1" x14ac:dyDescent="0.3"/>
    <row r="78" spans="1:31" ht="15.75" customHeight="1" x14ac:dyDescent="0.3"/>
    <row r="79" spans="1:31" ht="15.75" customHeight="1" x14ac:dyDescent="0.3"/>
    <row r="80" spans="1:31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</sheetData>
  <mergeCells count="4">
    <mergeCell ref="A1:J2"/>
    <mergeCell ref="A3:J4"/>
    <mergeCell ref="K3:Z4"/>
    <mergeCell ref="AB3:AE4"/>
  </mergeCells>
  <conditionalFormatting sqref="C6:J43">
    <cfRule type="cellIs" dxfId="35" priority="7" operator="lessThan">
      <formula>9.5</formula>
    </cfRule>
  </conditionalFormatting>
  <conditionalFormatting sqref="H6:J43">
    <cfRule type="cellIs" dxfId="34" priority="2" operator="lessThan">
      <formula>9.45</formula>
    </cfRule>
  </conditionalFormatting>
  <conditionalFormatting sqref="J6:J43">
    <cfRule type="containsText" dxfId="33" priority="3" operator="containsText" text="Recurso">
      <formula>NOT(ISERROR(SEARCH(("Recurso"),(J6))))</formula>
    </cfRule>
    <cfRule type="containsText" dxfId="32" priority="4" operator="containsText" text="APROVADO">
      <formula>NOT(ISERROR(SEARCH(("APROVADO"),(J6))))</formula>
    </cfRule>
    <cfRule type="containsText" dxfId="31" priority="5" operator="containsText" text="Dispensado">
      <formula>NOT(ISERROR(SEARCH(("Dispensado"),(J6))))</formula>
    </cfRule>
    <cfRule type="containsText" dxfId="30" priority="6" operator="containsText" text="REPROVADO">
      <formula>NOT(ISERROR(SEARCH(("REPROVADO"),(J6))))</formula>
    </cfRule>
  </conditionalFormatting>
  <conditionalFormatting sqref="K6:Z43">
    <cfRule type="cellIs" dxfId="29" priority="1" operator="lessThan">
      <formula>10</formula>
    </cfRule>
  </conditionalFormatting>
  <pageMargins left="0.7" right="0.7" top="0.75" bottom="0.75" header="0" footer="0"/>
  <pageSetup paperSize="9" scale="62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27"/>
  <sheetViews>
    <sheetView workbookViewId="0">
      <selection sqref="A1:J2"/>
    </sheetView>
  </sheetViews>
  <sheetFormatPr defaultColWidth="11.19921875" defaultRowHeight="15" customHeight="1" x14ac:dyDescent="0.3"/>
  <cols>
    <col min="1" max="1" width="4.09765625" customWidth="1"/>
    <col min="2" max="2" width="41" customWidth="1"/>
    <col min="3" max="3" width="8" customWidth="1"/>
    <col min="4" max="4" width="5.8984375" customWidth="1"/>
    <col min="5" max="5" width="8.59765625" customWidth="1"/>
    <col min="6" max="7" width="7.59765625" customWidth="1"/>
    <col min="8" max="9" width="8.796875" customWidth="1"/>
    <col min="10" max="10" width="15.59765625" customWidth="1"/>
    <col min="11" max="11" width="4" customWidth="1"/>
    <col min="12" max="12" width="4.796875" customWidth="1"/>
    <col min="13" max="13" width="5.796875" customWidth="1"/>
    <col min="14" max="14" width="5.8984375" customWidth="1"/>
    <col min="15" max="15" width="6.09765625" customWidth="1"/>
    <col min="16" max="16" width="4.59765625" customWidth="1"/>
    <col min="17" max="17" width="4.09765625" customWidth="1"/>
    <col min="18" max="18" width="4" customWidth="1"/>
    <col min="19" max="19" width="3.69921875" customWidth="1"/>
    <col min="20" max="20" width="3.8984375" customWidth="1"/>
    <col min="21" max="21" width="3.69921875" customWidth="1"/>
    <col min="22" max="22" width="3.8984375" customWidth="1"/>
    <col min="23" max="23" width="3.69921875" customWidth="1"/>
    <col min="24" max="24" width="4.09765625" customWidth="1"/>
    <col min="25" max="25" width="3.59765625" customWidth="1"/>
    <col min="26" max="27" width="3.69921875" customWidth="1"/>
    <col min="28" max="28" width="3.296875" customWidth="1"/>
    <col min="29" max="29" width="3" customWidth="1"/>
    <col min="30" max="30" width="3.69921875" customWidth="1"/>
    <col min="31" max="31" width="3.59765625" customWidth="1"/>
  </cols>
  <sheetData>
    <row r="1" spans="1:31" ht="36.6" x14ac:dyDescent="0.3">
      <c r="A1" s="50" t="s">
        <v>59</v>
      </c>
      <c r="B1" s="51"/>
      <c r="C1" s="51"/>
      <c r="D1" s="51"/>
      <c r="E1" s="51"/>
      <c r="F1" s="51"/>
      <c r="G1" s="51"/>
      <c r="H1" s="51"/>
      <c r="I1" s="51"/>
      <c r="J1" s="5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6.6" x14ac:dyDescent="0.3">
      <c r="A2" s="52"/>
      <c r="B2" s="53"/>
      <c r="C2" s="53"/>
      <c r="D2" s="53"/>
      <c r="E2" s="53"/>
      <c r="F2" s="53"/>
      <c r="G2" s="53"/>
      <c r="H2" s="53"/>
      <c r="I2" s="53"/>
      <c r="J2" s="5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5.6" x14ac:dyDescent="0.3">
      <c r="A3" s="54" t="s">
        <v>1</v>
      </c>
      <c r="B3" s="51"/>
      <c r="C3" s="51"/>
      <c r="D3" s="51"/>
      <c r="E3" s="51"/>
      <c r="F3" s="51"/>
      <c r="G3" s="51"/>
      <c r="H3" s="51"/>
      <c r="I3" s="51"/>
      <c r="J3" s="51"/>
      <c r="K3" s="55" t="s">
        <v>2</v>
      </c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7"/>
      <c r="AB3" s="61" t="s">
        <v>3</v>
      </c>
      <c r="AC3" s="56"/>
      <c r="AD3" s="56"/>
      <c r="AE3" s="57"/>
    </row>
    <row r="4" spans="1:31" ht="15.6" x14ac:dyDescent="0.3">
      <c r="A4" s="52"/>
      <c r="B4" s="53"/>
      <c r="C4" s="53"/>
      <c r="D4" s="53"/>
      <c r="E4" s="53"/>
      <c r="F4" s="53"/>
      <c r="G4" s="53"/>
      <c r="H4" s="53"/>
      <c r="I4" s="53"/>
      <c r="J4" s="53"/>
      <c r="K4" s="58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60"/>
      <c r="AB4" s="58"/>
      <c r="AC4" s="59"/>
      <c r="AD4" s="59"/>
      <c r="AE4" s="60"/>
    </row>
    <row r="5" spans="1:31" ht="18" x14ac:dyDescent="0.3">
      <c r="A5" s="29" t="s">
        <v>4</v>
      </c>
      <c r="B5" s="30" t="s">
        <v>5</v>
      </c>
      <c r="C5" s="5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7">
        <v>1</v>
      </c>
      <c r="L5" s="7">
        <v>2</v>
      </c>
      <c r="M5" s="7">
        <v>3</v>
      </c>
      <c r="N5" s="7">
        <v>4</v>
      </c>
      <c r="O5" s="7">
        <v>5</v>
      </c>
      <c r="P5" s="7">
        <v>6</v>
      </c>
      <c r="Q5" s="7">
        <v>7</v>
      </c>
      <c r="R5" s="7">
        <v>8</v>
      </c>
      <c r="S5" s="7">
        <v>9</v>
      </c>
      <c r="T5" s="7">
        <v>10</v>
      </c>
      <c r="U5" s="7">
        <v>11</v>
      </c>
      <c r="V5" s="7">
        <v>12</v>
      </c>
      <c r="W5" s="7">
        <v>13</v>
      </c>
      <c r="X5" s="7">
        <v>14</v>
      </c>
      <c r="Y5" s="7">
        <v>15</v>
      </c>
      <c r="Z5" s="7">
        <v>16</v>
      </c>
      <c r="AB5" s="7">
        <v>1</v>
      </c>
      <c r="AC5" s="7">
        <v>2</v>
      </c>
      <c r="AD5" s="7">
        <v>3</v>
      </c>
      <c r="AE5" s="7">
        <v>4</v>
      </c>
    </row>
    <row r="6" spans="1:31" ht="19.2" x14ac:dyDescent="0.35">
      <c r="A6" s="8">
        <v>1</v>
      </c>
      <c r="B6" s="18" t="s">
        <v>60</v>
      </c>
      <c r="C6" s="10">
        <f t="shared" ref="C6:C60" si="0">SUM(K6:Z6)/COUNT(K6:Z6)</f>
        <v>0</v>
      </c>
      <c r="D6" s="6" t="s">
        <v>61</v>
      </c>
      <c r="E6" s="6" t="s">
        <v>61</v>
      </c>
      <c r="F6" s="11">
        <f t="shared" ref="F6:F60" si="1">IF(OR(AND(D6="P",E6="P"),AND(D6="p",E6="p")),0,0.4*C6+0.6*AVERAGE(IF(D6="F",0,D6),IF(E6="F",0,E6)))</f>
        <v>0</v>
      </c>
      <c r="G6" s="10">
        <v>6</v>
      </c>
      <c r="H6" s="10">
        <f t="shared" ref="H6:H60" si="2">IF(OR(AND(D6="P",E6="P"),AND(D6="p",E6="p")),IF(G6="F",0,G6),IF(G6="","",IF(G6="F",IF(F6&gt;12.45,F6,F6*0.6),F6*0.6+G6*0.4)))</f>
        <v>6</v>
      </c>
      <c r="I6" s="10">
        <v>7</v>
      </c>
      <c r="J6" s="6" t="str">
        <f t="shared" ref="J6:J60" si="3">IF(OR(F6&gt;=6.5,OR(AND(D6="P",E6="P"),AND(D6="p",E6="p"))),IF(AND(F6&gt;=13.5,D6&gt;=10,E6&gt;=10),"Dispensado",IF(H6="","EXAME",IF(H6&gt;9.44,"APROVADO",IF(I6="","Recurso",IF(OR(I6=9,I6=10,I6=8),"APROVADO","REPROVADO"))))),"REPROVADO")</f>
        <v>REPROVADO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B6" s="7"/>
      <c r="AC6" s="7"/>
      <c r="AD6" s="7"/>
      <c r="AE6" s="7"/>
    </row>
    <row r="7" spans="1:31" ht="19.2" x14ac:dyDescent="0.35">
      <c r="A7" s="8">
        <v>2</v>
      </c>
      <c r="B7" s="9" t="s">
        <v>62</v>
      </c>
      <c r="C7" s="10">
        <f t="shared" si="0"/>
        <v>14.033333333333333</v>
      </c>
      <c r="D7" s="6">
        <v>4</v>
      </c>
      <c r="E7" s="6">
        <v>12.75</v>
      </c>
      <c r="F7" s="11">
        <f t="shared" si="1"/>
        <v>10.638333333333332</v>
      </c>
      <c r="G7" s="10">
        <v>12</v>
      </c>
      <c r="H7" s="10">
        <f t="shared" si="2"/>
        <v>11.183</v>
      </c>
      <c r="I7" s="10" t="s">
        <v>15</v>
      </c>
      <c r="J7" s="6" t="str">
        <f t="shared" si="3"/>
        <v>APROVADO</v>
      </c>
      <c r="K7" s="7">
        <v>8</v>
      </c>
      <c r="L7" s="7">
        <f>4*0.2</f>
        <v>0.8</v>
      </c>
      <c r="M7" s="7">
        <v>15</v>
      </c>
      <c r="N7" s="7">
        <v>15</v>
      </c>
      <c r="O7" s="7">
        <v>7.5</v>
      </c>
      <c r="P7" s="7">
        <v>20</v>
      </c>
      <c r="Q7" s="7">
        <v>20</v>
      </c>
      <c r="R7" s="7">
        <v>20</v>
      </c>
      <c r="S7" s="7">
        <v>20</v>
      </c>
      <c r="T7" s="7"/>
      <c r="U7" s="7"/>
      <c r="V7" s="7"/>
      <c r="W7" s="7"/>
      <c r="X7" s="7"/>
      <c r="Y7" s="7"/>
      <c r="Z7" s="7"/>
      <c r="AB7" s="7"/>
      <c r="AC7" s="7"/>
      <c r="AD7" s="7"/>
      <c r="AE7" s="7"/>
    </row>
    <row r="8" spans="1:31" ht="19.2" x14ac:dyDescent="0.35">
      <c r="A8" s="8">
        <v>3</v>
      </c>
      <c r="B8" s="9" t="s">
        <v>63</v>
      </c>
      <c r="C8" s="10">
        <f t="shared" si="0"/>
        <v>12.266666666666667</v>
      </c>
      <c r="D8" s="6">
        <v>0</v>
      </c>
      <c r="E8" s="6">
        <v>7.5</v>
      </c>
      <c r="F8" s="11">
        <f t="shared" si="1"/>
        <v>7.1566666666666672</v>
      </c>
      <c r="G8" s="10">
        <v>10</v>
      </c>
      <c r="H8" s="10">
        <f t="shared" si="2"/>
        <v>8.2940000000000005</v>
      </c>
      <c r="I8" s="10">
        <v>9</v>
      </c>
      <c r="J8" s="6" t="str">
        <f t="shared" si="3"/>
        <v>APROVADO</v>
      </c>
      <c r="K8" s="7">
        <v>8</v>
      </c>
      <c r="L8" s="7">
        <f>4*0.85</f>
        <v>3.4</v>
      </c>
      <c r="M8" s="7">
        <v>15</v>
      </c>
      <c r="N8" s="7">
        <v>0</v>
      </c>
      <c r="O8" s="7">
        <v>4</v>
      </c>
      <c r="P8" s="7">
        <v>20</v>
      </c>
      <c r="Q8" s="7">
        <v>20</v>
      </c>
      <c r="R8" s="7">
        <v>20</v>
      </c>
      <c r="S8" s="7">
        <v>20</v>
      </c>
      <c r="T8" s="7"/>
      <c r="U8" s="7"/>
      <c r="V8" s="7"/>
      <c r="W8" s="7"/>
      <c r="X8" s="7"/>
      <c r="Y8" s="7"/>
      <c r="Z8" s="7"/>
      <c r="AB8" s="7"/>
      <c r="AC8" s="7"/>
      <c r="AD8" s="7"/>
      <c r="AE8" s="7"/>
    </row>
    <row r="9" spans="1:31" ht="19.2" x14ac:dyDescent="0.35">
      <c r="A9" s="8">
        <v>4</v>
      </c>
      <c r="B9" s="9" t="s">
        <v>64</v>
      </c>
      <c r="C9" s="10">
        <f t="shared" si="0"/>
        <v>7.8571428571428568</v>
      </c>
      <c r="D9" s="6">
        <v>2</v>
      </c>
      <c r="E9" s="6" t="s">
        <v>15</v>
      </c>
      <c r="F9" s="11">
        <f t="shared" si="1"/>
        <v>3.7428571428571429</v>
      </c>
      <c r="G9" s="10" t="s">
        <v>15</v>
      </c>
      <c r="H9" s="10">
        <f t="shared" si="2"/>
        <v>2.2457142857142856</v>
      </c>
      <c r="I9" s="10" t="s">
        <v>15</v>
      </c>
      <c r="J9" s="6" t="str">
        <f t="shared" si="3"/>
        <v>REPROVADO</v>
      </c>
      <c r="K9" s="7">
        <v>0</v>
      </c>
      <c r="L9" s="7">
        <f>4*0</f>
        <v>0</v>
      </c>
      <c r="M9" s="7">
        <v>0</v>
      </c>
      <c r="N9" s="7">
        <v>15</v>
      </c>
      <c r="O9" s="7">
        <v>0</v>
      </c>
      <c r="P9" s="7">
        <v>20</v>
      </c>
      <c r="Q9" s="7">
        <v>20</v>
      </c>
      <c r="R9" s="7"/>
      <c r="S9" s="7"/>
      <c r="T9" s="7"/>
      <c r="U9" s="7"/>
      <c r="V9" s="7"/>
      <c r="W9" s="7"/>
      <c r="X9" s="7"/>
      <c r="Y9" s="7"/>
      <c r="Z9" s="7"/>
      <c r="AB9" s="7"/>
      <c r="AC9" s="7"/>
      <c r="AD9" s="7"/>
      <c r="AE9" s="7"/>
    </row>
    <row r="10" spans="1:31" ht="19.2" x14ac:dyDescent="0.35">
      <c r="A10" s="8">
        <v>5</v>
      </c>
      <c r="B10" s="9" t="s">
        <v>65</v>
      </c>
      <c r="C10" s="10">
        <f t="shared" si="0"/>
        <v>14.083333333333334</v>
      </c>
      <c r="D10" s="6">
        <v>1</v>
      </c>
      <c r="E10" s="6">
        <v>6</v>
      </c>
      <c r="F10" s="11">
        <f t="shared" si="1"/>
        <v>7.7333333333333343</v>
      </c>
      <c r="G10" s="10">
        <v>8</v>
      </c>
      <c r="H10" s="10">
        <f t="shared" si="2"/>
        <v>7.8400000000000007</v>
      </c>
      <c r="I10" s="10">
        <v>10</v>
      </c>
      <c r="J10" s="6" t="str">
        <f t="shared" si="3"/>
        <v>APROVADO</v>
      </c>
      <c r="K10" s="7">
        <v>3</v>
      </c>
      <c r="L10" s="7">
        <f>4*1.75</f>
        <v>7</v>
      </c>
      <c r="M10" s="7">
        <v>15</v>
      </c>
      <c r="N10" s="7">
        <v>15</v>
      </c>
      <c r="O10" s="7">
        <v>6.75</v>
      </c>
      <c r="P10" s="7">
        <v>20</v>
      </c>
      <c r="Q10" s="7">
        <v>20</v>
      </c>
      <c r="R10" s="7">
        <v>20</v>
      </c>
      <c r="S10" s="7">
        <v>20</v>
      </c>
      <c r="T10" s="7"/>
      <c r="U10" s="7"/>
      <c r="V10" s="7"/>
      <c r="W10" s="7"/>
      <c r="X10" s="7"/>
      <c r="Y10" s="7"/>
      <c r="Z10" s="7"/>
      <c r="AB10" s="7"/>
      <c r="AC10" s="7"/>
      <c r="AD10" s="7"/>
      <c r="AE10" s="7"/>
    </row>
    <row r="11" spans="1:31" ht="19.2" x14ac:dyDescent="0.35">
      <c r="A11" s="8">
        <v>6</v>
      </c>
      <c r="B11" s="9" t="s">
        <v>66</v>
      </c>
      <c r="C11" s="10">
        <f t="shared" si="0"/>
        <v>0</v>
      </c>
      <c r="D11" s="6" t="s">
        <v>61</v>
      </c>
      <c r="E11" s="6" t="s">
        <v>61</v>
      </c>
      <c r="F11" s="11">
        <f t="shared" si="1"/>
        <v>0</v>
      </c>
      <c r="G11" s="10">
        <v>6</v>
      </c>
      <c r="H11" s="10">
        <f t="shared" si="2"/>
        <v>6</v>
      </c>
      <c r="I11" s="10">
        <v>9</v>
      </c>
      <c r="J11" s="6" t="str">
        <f t="shared" si="3"/>
        <v>APROVADO</v>
      </c>
      <c r="K11" s="7"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B11" s="7"/>
      <c r="AC11" s="7"/>
      <c r="AD11" s="7"/>
      <c r="AE11" s="7"/>
    </row>
    <row r="12" spans="1:31" ht="19.2" x14ac:dyDescent="0.35">
      <c r="A12" s="8">
        <v>7</v>
      </c>
      <c r="B12" s="9" t="s">
        <v>67</v>
      </c>
      <c r="C12" s="10">
        <f t="shared" si="0"/>
        <v>10.600000000000001</v>
      </c>
      <c r="D12" s="6">
        <v>3</v>
      </c>
      <c r="E12" s="6">
        <v>7.5</v>
      </c>
      <c r="F12" s="11">
        <f t="shared" si="1"/>
        <v>7.3900000000000006</v>
      </c>
      <c r="G12" s="10">
        <v>14</v>
      </c>
      <c r="H12" s="10">
        <f t="shared" si="2"/>
        <v>10.034000000000001</v>
      </c>
      <c r="I12" s="10" t="s">
        <v>15</v>
      </c>
      <c r="J12" s="6" t="str">
        <f t="shared" si="3"/>
        <v>APROVADO</v>
      </c>
      <c r="K12" s="7">
        <v>0</v>
      </c>
      <c r="L12" s="7">
        <f t="shared" ref="L12:L13" si="4">4*0.1</f>
        <v>0.4</v>
      </c>
      <c r="M12" s="7">
        <v>0</v>
      </c>
      <c r="N12" s="7">
        <v>15</v>
      </c>
      <c r="O12" s="7">
        <v>0</v>
      </c>
      <c r="P12" s="7">
        <v>20</v>
      </c>
      <c r="Q12" s="7">
        <v>20</v>
      </c>
      <c r="R12" s="7">
        <v>20</v>
      </c>
      <c r="S12" s="7">
        <v>20</v>
      </c>
      <c r="T12" s="7"/>
      <c r="U12" s="7"/>
      <c r="V12" s="7"/>
      <c r="W12" s="7"/>
      <c r="X12" s="7"/>
      <c r="Y12" s="7"/>
      <c r="Z12" s="7"/>
      <c r="AB12" s="7"/>
      <c r="AC12" s="7"/>
      <c r="AD12" s="7"/>
      <c r="AE12" s="7"/>
    </row>
    <row r="13" spans="1:31" ht="19.2" x14ac:dyDescent="0.35">
      <c r="A13" s="8">
        <v>8</v>
      </c>
      <c r="B13" s="9" t="s">
        <v>68</v>
      </c>
      <c r="C13" s="10">
        <f t="shared" si="0"/>
        <v>11.211111111111112</v>
      </c>
      <c r="D13" s="6">
        <v>7</v>
      </c>
      <c r="E13" s="6">
        <v>10</v>
      </c>
      <c r="F13" s="11">
        <f t="shared" si="1"/>
        <v>9.5844444444444434</v>
      </c>
      <c r="G13" s="10">
        <v>10</v>
      </c>
      <c r="H13" s="10">
        <f t="shared" si="2"/>
        <v>9.7506666666666657</v>
      </c>
      <c r="I13" s="10" t="s">
        <v>15</v>
      </c>
      <c r="J13" s="6" t="str">
        <f t="shared" si="3"/>
        <v>APROVADO</v>
      </c>
      <c r="K13" s="7">
        <v>0</v>
      </c>
      <c r="L13" s="7">
        <f t="shared" si="4"/>
        <v>0.4</v>
      </c>
      <c r="M13" s="7">
        <v>15</v>
      </c>
      <c r="N13" s="7">
        <v>0</v>
      </c>
      <c r="O13" s="7">
        <v>5.5</v>
      </c>
      <c r="P13" s="7">
        <v>20</v>
      </c>
      <c r="Q13" s="7">
        <v>20</v>
      </c>
      <c r="R13" s="7">
        <v>20</v>
      </c>
      <c r="S13" s="7">
        <v>20</v>
      </c>
      <c r="T13" s="7"/>
      <c r="U13" s="7"/>
      <c r="V13" s="7"/>
      <c r="W13" s="7"/>
      <c r="X13" s="7"/>
      <c r="Y13" s="7"/>
      <c r="Z13" s="7"/>
      <c r="AB13" s="7"/>
      <c r="AC13" s="7"/>
      <c r="AD13" s="7"/>
      <c r="AE13" s="7"/>
    </row>
    <row r="14" spans="1:31" ht="19.2" x14ac:dyDescent="0.35">
      <c r="A14" s="8">
        <v>9</v>
      </c>
      <c r="B14" s="9" t="s">
        <v>69</v>
      </c>
      <c r="C14" s="10">
        <f t="shared" si="0"/>
        <v>11.588888888888889</v>
      </c>
      <c r="D14" s="6">
        <v>7</v>
      </c>
      <c r="E14" s="6">
        <v>7.5</v>
      </c>
      <c r="F14" s="11">
        <f t="shared" si="1"/>
        <v>8.9855555555555551</v>
      </c>
      <c r="G14" s="10">
        <v>6</v>
      </c>
      <c r="H14" s="10">
        <f t="shared" si="2"/>
        <v>7.7913333333333332</v>
      </c>
      <c r="I14" s="10">
        <v>10</v>
      </c>
      <c r="J14" s="6" t="str">
        <f t="shared" si="3"/>
        <v>APROVADO</v>
      </c>
      <c r="K14" s="7">
        <v>0</v>
      </c>
      <c r="L14" s="7">
        <f>4*0.7</f>
        <v>2.8</v>
      </c>
      <c r="M14" s="7">
        <v>0</v>
      </c>
      <c r="N14" s="7">
        <v>15</v>
      </c>
      <c r="O14" s="7">
        <v>6.5</v>
      </c>
      <c r="P14" s="7">
        <v>20</v>
      </c>
      <c r="Q14" s="7">
        <v>20</v>
      </c>
      <c r="R14" s="7">
        <v>20</v>
      </c>
      <c r="S14" s="7">
        <v>20</v>
      </c>
      <c r="T14" s="7"/>
      <c r="U14" s="7"/>
      <c r="V14" s="7"/>
      <c r="W14" s="7"/>
      <c r="X14" s="7"/>
      <c r="Y14" s="7"/>
      <c r="Z14" s="7"/>
      <c r="AB14" s="7"/>
      <c r="AC14" s="7"/>
      <c r="AD14" s="7"/>
      <c r="AE14" s="7"/>
    </row>
    <row r="15" spans="1:31" ht="19.2" x14ac:dyDescent="0.35">
      <c r="A15" s="8">
        <v>10</v>
      </c>
      <c r="B15" s="9" t="s">
        <v>70</v>
      </c>
      <c r="C15" s="10">
        <f t="shared" si="0"/>
        <v>11.455555555555556</v>
      </c>
      <c r="D15" s="6">
        <v>0</v>
      </c>
      <c r="E15" s="6">
        <v>7.5</v>
      </c>
      <c r="F15" s="11">
        <f t="shared" si="1"/>
        <v>6.8322222222222226</v>
      </c>
      <c r="G15" s="10">
        <v>14</v>
      </c>
      <c r="H15" s="10">
        <f t="shared" si="2"/>
        <v>9.6993333333333336</v>
      </c>
      <c r="I15" s="10" t="s">
        <v>15</v>
      </c>
      <c r="J15" s="6" t="str">
        <f t="shared" si="3"/>
        <v>APROVADO</v>
      </c>
      <c r="K15" s="7">
        <v>0</v>
      </c>
      <c r="L15" s="7">
        <f>4*0.65</f>
        <v>2.6</v>
      </c>
      <c r="M15" s="7">
        <v>15</v>
      </c>
      <c r="N15" s="7">
        <v>0</v>
      </c>
      <c r="O15" s="7">
        <v>5.5</v>
      </c>
      <c r="P15" s="7">
        <v>20</v>
      </c>
      <c r="Q15" s="7">
        <v>20</v>
      </c>
      <c r="R15" s="7">
        <v>20</v>
      </c>
      <c r="S15" s="7">
        <v>20</v>
      </c>
      <c r="T15" s="7"/>
      <c r="U15" s="7"/>
      <c r="V15" s="7"/>
      <c r="W15" s="7"/>
      <c r="X15" s="7"/>
      <c r="Y15" s="7"/>
      <c r="Z15" s="7"/>
      <c r="AB15" s="7"/>
      <c r="AC15" s="7"/>
      <c r="AD15" s="7"/>
      <c r="AE15" s="7"/>
    </row>
    <row r="16" spans="1:31" ht="19.2" x14ac:dyDescent="0.35">
      <c r="A16" s="8">
        <v>11</v>
      </c>
      <c r="B16" s="9" t="s">
        <v>71</v>
      </c>
      <c r="C16" s="10">
        <f t="shared" si="0"/>
        <v>13.277777777777779</v>
      </c>
      <c r="D16" s="6">
        <v>7</v>
      </c>
      <c r="E16" s="6">
        <v>5</v>
      </c>
      <c r="F16" s="11">
        <f t="shared" si="1"/>
        <v>8.9111111111111114</v>
      </c>
      <c r="G16" s="10">
        <v>8</v>
      </c>
      <c r="H16" s="10">
        <f t="shared" si="2"/>
        <v>8.5466666666666669</v>
      </c>
      <c r="I16" s="10">
        <v>10</v>
      </c>
      <c r="J16" s="6" t="str">
        <f t="shared" si="3"/>
        <v>APROVADO</v>
      </c>
      <c r="K16" s="7">
        <v>3</v>
      </c>
      <c r="L16" s="7">
        <f>4*0</f>
        <v>0</v>
      </c>
      <c r="M16" s="7">
        <v>15</v>
      </c>
      <c r="N16" s="7">
        <v>15</v>
      </c>
      <c r="O16" s="7">
        <v>6.5</v>
      </c>
      <c r="P16" s="7">
        <v>20</v>
      </c>
      <c r="Q16" s="7">
        <v>20</v>
      </c>
      <c r="R16" s="7">
        <v>20</v>
      </c>
      <c r="S16" s="7">
        <v>20</v>
      </c>
      <c r="T16" s="7"/>
      <c r="U16" s="7"/>
      <c r="V16" s="7"/>
      <c r="W16" s="7"/>
      <c r="X16" s="7"/>
      <c r="Y16" s="7"/>
      <c r="Z16" s="7"/>
      <c r="AB16" s="7"/>
      <c r="AC16" s="7"/>
      <c r="AD16" s="7"/>
      <c r="AE16" s="7"/>
    </row>
    <row r="17" spans="1:31" ht="19.2" x14ac:dyDescent="0.35">
      <c r="A17" s="8">
        <v>12</v>
      </c>
      <c r="B17" s="9" t="s">
        <v>72</v>
      </c>
      <c r="C17" s="10">
        <f t="shared" si="0"/>
        <v>10.342857142857143</v>
      </c>
      <c r="D17" s="6" t="s">
        <v>15</v>
      </c>
      <c r="E17" s="6">
        <v>2.5</v>
      </c>
      <c r="F17" s="11">
        <f t="shared" si="1"/>
        <v>4.8871428571428579</v>
      </c>
      <c r="G17" s="10" t="s">
        <v>15</v>
      </c>
      <c r="H17" s="10">
        <f t="shared" si="2"/>
        <v>2.9322857142857148</v>
      </c>
      <c r="I17" s="10" t="s">
        <v>15</v>
      </c>
      <c r="J17" s="6" t="str">
        <f t="shared" si="3"/>
        <v>REPROVADO</v>
      </c>
      <c r="K17" s="7">
        <v>2</v>
      </c>
      <c r="L17" s="7">
        <f>4*0.1</f>
        <v>0.4</v>
      </c>
      <c r="M17" s="7">
        <v>15</v>
      </c>
      <c r="N17" s="7">
        <v>15</v>
      </c>
      <c r="O17" s="7">
        <v>0</v>
      </c>
      <c r="P17" s="7">
        <v>20</v>
      </c>
      <c r="Q17" s="7">
        <v>20</v>
      </c>
      <c r="R17" s="7"/>
      <c r="S17" s="7"/>
      <c r="T17" s="7"/>
      <c r="U17" s="7"/>
      <c r="V17" s="7"/>
      <c r="W17" s="7"/>
      <c r="X17" s="7"/>
      <c r="Y17" s="7"/>
      <c r="Z17" s="7"/>
      <c r="AB17" s="7"/>
      <c r="AC17" s="7"/>
      <c r="AD17" s="7"/>
      <c r="AE17" s="7"/>
    </row>
    <row r="18" spans="1:31" ht="19.2" x14ac:dyDescent="0.35">
      <c r="A18" s="8">
        <v>13</v>
      </c>
      <c r="B18" s="9" t="s">
        <v>73</v>
      </c>
      <c r="C18" s="10">
        <f t="shared" si="0"/>
        <v>0</v>
      </c>
      <c r="D18" s="6" t="s">
        <v>15</v>
      </c>
      <c r="E18" s="6" t="s">
        <v>15</v>
      </c>
      <c r="F18" s="11">
        <f t="shared" si="1"/>
        <v>0</v>
      </c>
      <c r="G18" s="10" t="s">
        <v>15</v>
      </c>
      <c r="H18" s="10">
        <f t="shared" si="2"/>
        <v>0</v>
      </c>
      <c r="I18" s="10" t="s">
        <v>15</v>
      </c>
      <c r="J18" s="6" t="str">
        <f t="shared" si="3"/>
        <v>REPROVADO</v>
      </c>
      <c r="K18" s="7">
        <v>0</v>
      </c>
      <c r="L18" s="7">
        <f t="shared" ref="L18:L19" si="5">4*0</f>
        <v>0</v>
      </c>
      <c r="M18" s="7">
        <v>0</v>
      </c>
      <c r="N18" s="7">
        <v>0</v>
      </c>
      <c r="O18" s="7">
        <v>0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B18" s="7"/>
      <c r="AC18" s="7"/>
      <c r="AD18" s="7"/>
      <c r="AE18" s="7"/>
    </row>
    <row r="19" spans="1:31" ht="19.2" x14ac:dyDescent="0.35">
      <c r="A19" s="8">
        <v>14</v>
      </c>
      <c r="B19" s="9" t="s">
        <v>74</v>
      </c>
      <c r="C19" s="10">
        <f t="shared" si="0"/>
        <v>12.111111111111111</v>
      </c>
      <c r="D19" s="6">
        <v>10</v>
      </c>
      <c r="E19" s="6">
        <v>7.5</v>
      </c>
      <c r="F19" s="11">
        <f t="shared" si="1"/>
        <v>10.094444444444445</v>
      </c>
      <c r="G19" s="10">
        <v>6</v>
      </c>
      <c r="H19" s="10">
        <f t="shared" si="2"/>
        <v>8.456666666666667</v>
      </c>
      <c r="I19" s="10" t="s">
        <v>15</v>
      </c>
      <c r="J19" s="6" t="str">
        <f t="shared" si="3"/>
        <v>REPROVADO</v>
      </c>
      <c r="K19" s="7">
        <v>14</v>
      </c>
      <c r="L19" s="7">
        <f t="shared" si="5"/>
        <v>0</v>
      </c>
      <c r="M19" s="7">
        <v>0</v>
      </c>
      <c r="N19" s="7">
        <v>15</v>
      </c>
      <c r="O19" s="7">
        <v>0</v>
      </c>
      <c r="P19" s="7">
        <v>20</v>
      </c>
      <c r="Q19" s="7">
        <v>20</v>
      </c>
      <c r="R19" s="7">
        <v>20</v>
      </c>
      <c r="S19" s="7">
        <v>20</v>
      </c>
      <c r="T19" s="7"/>
      <c r="U19" s="7"/>
      <c r="V19" s="7"/>
      <c r="W19" s="7"/>
      <c r="X19" s="7"/>
      <c r="Y19" s="7"/>
      <c r="Z19" s="7"/>
      <c r="AB19" s="7"/>
      <c r="AC19" s="7"/>
      <c r="AD19" s="7"/>
      <c r="AE19" s="7"/>
    </row>
    <row r="20" spans="1:31" ht="19.2" x14ac:dyDescent="0.35">
      <c r="A20" s="8">
        <v>15</v>
      </c>
      <c r="B20" s="9" t="s">
        <v>75</v>
      </c>
      <c r="C20" s="10">
        <f t="shared" si="0"/>
        <v>12.866666666666667</v>
      </c>
      <c r="D20" s="6">
        <v>1</v>
      </c>
      <c r="E20" s="6">
        <v>10</v>
      </c>
      <c r="F20" s="11">
        <f t="shared" si="1"/>
        <v>8.4466666666666672</v>
      </c>
      <c r="G20" s="10">
        <v>8</v>
      </c>
      <c r="H20" s="10">
        <f t="shared" si="2"/>
        <v>8.2680000000000007</v>
      </c>
      <c r="I20" s="10">
        <v>10</v>
      </c>
      <c r="J20" s="6" t="str">
        <f t="shared" si="3"/>
        <v>APROVADO</v>
      </c>
      <c r="K20" s="7">
        <v>0</v>
      </c>
      <c r="L20" s="7">
        <f>4*0.45</f>
        <v>1.8</v>
      </c>
      <c r="M20" s="7">
        <v>15</v>
      </c>
      <c r="N20" s="7">
        <v>15</v>
      </c>
      <c r="O20" s="7">
        <v>4</v>
      </c>
      <c r="P20" s="7">
        <v>20</v>
      </c>
      <c r="Q20" s="7">
        <v>20</v>
      </c>
      <c r="R20" s="7">
        <v>20</v>
      </c>
      <c r="S20" s="7">
        <v>20</v>
      </c>
      <c r="T20" s="7"/>
      <c r="U20" s="7"/>
      <c r="V20" s="7"/>
      <c r="W20" s="7"/>
      <c r="X20" s="7"/>
      <c r="Y20" s="7"/>
      <c r="Z20" s="7"/>
      <c r="AB20" s="7"/>
      <c r="AC20" s="7"/>
      <c r="AD20" s="7"/>
      <c r="AE20" s="7"/>
    </row>
    <row r="21" spans="1:31" ht="19.2" x14ac:dyDescent="0.35">
      <c r="A21" s="8">
        <v>16</v>
      </c>
      <c r="B21" s="9" t="s">
        <v>76</v>
      </c>
      <c r="C21" s="10">
        <f t="shared" si="0"/>
        <v>11.044444444444444</v>
      </c>
      <c r="D21" s="6">
        <v>9</v>
      </c>
      <c r="E21" s="6">
        <v>5</v>
      </c>
      <c r="F21" s="11">
        <f t="shared" si="1"/>
        <v>8.6177777777777784</v>
      </c>
      <c r="G21" s="10">
        <v>12</v>
      </c>
      <c r="H21" s="10">
        <f t="shared" si="2"/>
        <v>9.9706666666666663</v>
      </c>
      <c r="I21" s="10" t="s">
        <v>15</v>
      </c>
      <c r="J21" s="6" t="str">
        <f t="shared" si="3"/>
        <v>APROVADO</v>
      </c>
      <c r="K21" s="7">
        <v>0</v>
      </c>
      <c r="L21" s="7">
        <f>4*0.1</f>
        <v>0.4</v>
      </c>
      <c r="M21" s="7">
        <v>15</v>
      </c>
      <c r="N21" s="7">
        <v>0</v>
      </c>
      <c r="O21" s="7">
        <v>4</v>
      </c>
      <c r="P21" s="7">
        <v>20</v>
      </c>
      <c r="Q21" s="7">
        <v>20</v>
      </c>
      <c r="R21" s="7">
        <v>20</v>
      </c>
      <c r="S21" s="7">
        <v>20</v>
      </c>
      <c r="T21" s="7"/>
      <c r="U21" s="7"/>
      <c r="V21" s="7"/>
      <c r="W21" s="7"/>
      <c r="X21" s="7"/>
      <c r="Y21" s="7"/>
      <c r="Z21" s="7"/>
      <c r="AB21" s="7"/>
      <c r="AC21" s="7"/>
      <c r="AD21" s="7"/>
      <c r="AE21" s="7"/>
    </row>
    <row r="22" spans="1:31" ht="19.2" x14ac:dyDescent="0.35">
      <c r="A22" s="8">
        <v>17</v>
      </c>
      <c r="B22" s="9" t="s">
        <v>77</v>
      </c>
      <c r="C22" s="10">
        <f t="shared" si="0"/>
        <v>13.161111111111111</v>
      </c>
      <c r="D22" s="6">
        <v>4</v>
      </c>
      <c r="E22" s="6">
        <v>10</v>
      </c>
      <c r="F22" s="11">
        <f t="shared" si="1"/>
        <v>9.464444444444446</v>
      </c>
      <c r="G22" s="10">
        <v>6</v>
      </c>
      <c r="H22" s="10">
        <f t="shared" si="2"/>
        <v>8.0786666666666669</v>
      </c>
      <c r="I22" s="10">
        <v>10</v>
      </c>
      <c r="J22" s="6" t="str">
        <f t="shared" si="3"/>
        <v>APROVADO</v>
      </c>
      <c r="K22" s="7">
        <v>0</v>
      </c>
      <c r="L22" s="7">
        <f>4*0.55</f>
        <v>2.2000000000000002</v>
      </c>
      <c r="M22" s="7">
        <v>15</v>
      </c>
      <c r="N22" s="7">
        <v>15</v>
      </c>
      <c r="O22" s="7">
        <v>6.25</v>
      </c>
      <c r="P22" s="7">
        <v>20</v>
      </c>
      <c r="Q22" s="7">
        <v>20</v>
      </c>
      <c r="R22" s="7">
        <v>20</v>
      </c>
      <c r="S22" s="7">
        <v>20</v>
      </c>
      <c r="T22" s="7"/>
      <c r="U22" s="7"/>
      <c r="V22" s="7"/>
      <c r="W22" s="7"/>
      <c r="X22" s="7"/>
      <c r="Y22" s="7"/>
      <c r="Z22" s="7"/>
      <c r="AB22" s="7"/>
      <c r="AC22" s="7"/>
      <c r="AD22" s="7"/>
      <c r="AE22" s="7"/>
    </row>
    <row r="23" spans="1:31" ht="19.2" x14ac:dyDescent="0.35">
      <c r="A23" s="8">
        <v>18</v>
      </c>
      <c r="B23" s="9" t="s">
        <v>78</v>
      </c>
      <c r="C23" s="10">
        <f t="shared" si="0"/>
        <v>5.7142857142857144</v>
      </c>
      <c r="D23" s="6">
        <v>6</v>
      </c>
      <c r="E23" s="6" t="s">
        <v>15</v>
      </c>
      <c r="F23" s="11">
        <f t="shared" si="1"/>
        <v>4.0857142857142854</v>
      </c>
      <c r="G23" s="10" t="s">
        <v>15</v>
      </c>
      <c r="H23" s="10">
        <f t="shared" si="2"/>
        <v>2.4514285714285711</v>
      </c>
      <c r="I23" s="10" t="s">
        <v>15</v>
      </c>
      <c r="J23" s="6" t="str">
        <f t="shared" si="3"/>
        <v>REPROVADO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20</v>
      </c>
      <c r="Q23" s="7">
        <v>20</v>
      </c>
      <c r="R23" s="7"/>
      <c r="S23" s="7"/>
      <c r="T23" s="7"/>
      <c r="U23" s="7"/>
      <c r="V23" s="7"/>
      <c r="W23" s="7"/>
      <c r="X23" s="7"/>
      <c r="Y23" s="7"/>
      <c r="Z23" s="7"/>
      <c r="AB23" s="7"/>
      <c r="AC23" s="7"/>
      <c r="AD23" s="7"/>
      <c r="AE23" s="7"/>
    </row>
    <row r="24" spans="1:31" ht="19.2" x14ac:dyDescent="0.35">
      <c r="A24" s="8">
        <v>19</v>
      </c>
      <c r="B24" s="9" t="s">
        <v>79</v>
      </c>
      <c r="C24" s="10">
        <f t="shared" si="0"/>
        <v>11.333333333333334</v>
      </c>
      <c r="D24" s="6">
        <v>5</v>
      </c>
      <c r="E24" s="6">
        <v>5</v>
      </c>
      <c r="F24" s="11">
        <f t="shared" si="1"/>
        <v>7.5333333333333341</v>
      </c>
      <c r="G24" s="10">
        <v>8</v>
      </c>
      <c r="H24" s="10">
        <f t="shared" si="2"/>
        <v>7.7200000000000006</v>
      </c>
      <c r="I24" s="10">
        <v>10</v>
      </c>
      <c r="J24" s="6" t="str">
        <f t="shared" si="3"/>
        <v>APROVADO</v>
      </c>
      <c r="K24" s="7">
        <v>0</v>
      </c>
      <c r="L24" s="7">
        <f>4*0.75</f>
        <v>3</v>
      </c>
      <c r="M24" s="7">
        <v>15</v>
      </c>
      <c r="N24" s="7">
        <v>0</v>
      </c>
      <c r="O24" s="7">
        <v>4</v>
      </c>
      <c r="P24" s="7">
        <v>20</v>
      </c>
      <c r="Q24" s="7">
        <v>20</v>
      </c>
      <c r="R24" s="7">
        <v>20</v>
      </c>
      <c r="S24" s="7">
        <v>20</v>
      </c>
      <c r="T24" s="7"/>
      <c r="U24" s="7"/>
      <c r="V24" s="7"/>
      <c r="W24" s="7"/>
      <c r="X24" s="7"/>
      <c r="Y24" s="7"/>
      <c r="Z24" s="7"/>
      <c r="AB24" s="7"/>
      <c r="AC24" s="7"/>
      <c r="AD24" s="7"/>
      <c r="AE24" s="7"/>
    </row>
    <row r="25" spans="1:31" ht="19.2" x14ac:dyDescent="0.35">
      <c r="A25" s="8">
        <v>20</v>
      </c>
      <c r="B25" s="9" t="s">
        <v>80</v>
      </c>
      <c r="C25" s="10">
        <f t="shared" si="0"/>
        <v>13.333333333333334</v>
      </c>
      <c r="D25" s="6">
        <v>3</v>
      </c>
      <c r="E25" s="6">
        <v>5</v>
      </c>
      <c r="F25" s="11">
        <f t="shared" si="1"/>
        <v>7.7333333333333343</v>
      </c>
      <c r="G25" s="10">
        <v>10</v>
      </c>
      <c r="H25" s="10">
        <f t="shared" si="2"/>
        <v>8.64</v>
      </c>
      <c r="I25" s="10">
        <v>10</v>
      </c>
      <c r="J25" s="6" t="str">
        <f t="shared" si="3"/>
        <v>APROVADO</v>
      </c>
      <c r="K25" s="7">
        <v>0</v>
      </c>
      <c r="L25" s="7">
        <f>4*0</f>
        <v>0</v>
      </c>
      <c r="M25" s="7">
        <v>15</v>
      </c>
      <c r="N25" s="7">
        <v>15</v>
      </c>
      <c r="O25" s="7">
        <v>10</v>
      </c>
      <c r="P25" s="7">
        <v>20</v>
      </c>
      <c r="Q25" s="7">
        <v>20</v>
      </c>
      <c r="R25" s="7">
        <v>20</v>
      </c>
      <c r="S25" s="7">
        <v>20</v>
      </c>
      <c r="T25" s="7"/>
      <c r="U25" s="7"/>
      <c r="V25" s="7"/>
      <c r="W25" s="7"/>
      <c r="X25" s="7"/>
      <c r="Y25" s="7"/>
      <c r="Z25" s="7"/>
      <c r="AB25" s="7"/>
      <c r="AC25" s="7"/>
      <c r="AD25" s="7"/>
      <c r="AE25" s="7"/>
    </row>
    <row r="26" spans="1:31" ht="19.2" x14ac:dyDescent="0.35">
      <c r="A26" s="8">
        <v>21</v>
      </c>
      <c r="B26" s="9" t="s">
        <v>81</v>
      </c>
      <c r="C26" s="10">
        <f t="shared" si="0"/>
        <v>14.744444444444444</v>
      </c>
      <c r="D26" s="6">
        <v>8</v>
      </c>
      <c r="E26" s="6">
        <v>12.5</v>
      </c>
      <c r="F26" s="11">
        <f t="shared" si="1"/>
        <v>12.047777777777778</v>
      </c>
      <c r="G26" s="10">
        <v>8</v>
      </c>
      <c r="H26" s="10">
        <f t="shared" si="2"/>
        <v>10.428666666666667</v>
      </c>
      <c r="I26" s="10" t="s">
        <v>15</v>
      </c>
      <c r="J26" s="6" t="str">
        <f t="shared" si="3"/>
        <v>APROVADO</v>
      </c>
      <c r="K26" s="7">
        <v>8</v>
      </c>
      <c r="L26" s="7">
        <f>4*2.3</f>
        <v>9.1999999999999993</v>
      </c>
      <c r="M26" s="7">
        <v>15</v>
      </c>
      <c r="N26" s="7">
        <v>15</v>
      </c>
      <c r="O26" s="7">
        <v>5.5</v>
      </c>
      <c r="P26" s="7">
        <v>20</v>
      </c>
      <c r="Q26" s="7">
        <v>20</v>
      </c>
      <c r="R26" s="7">
        <v>20</v>
      </c>
      <c r="S26" s="7">
        <v>20</v>
      </c>
      <c r="T26" s="7"/>
      <c r="U26" s="7"/>
      <c r="V26" s="7"/>
      <c r="W26" s="7"/>
      <c r="X26" s="7"/>
      <c r="Y26" s="7"/>
      <c r="Z26" s="7"/>
      <c r="AB26" s="7"/>
      <c r="AC26" s="7"/>
      <c r="AD26" s="7"/>
      <c r="AE26" s="7"/>
    </row>
    <row r="27" spans="1:31" ht="19.2" x14ac:dyDescent="0.35">
      <c r="A27" s="8">
        <v>22</v>
      </c>
      <c r="B27" s="9" t="s">
        <v>82</v>
      </c>
      <c r="C27" s="10">
        <f t="shared" si="0"/>
        <v>12.333333333333334</v>
      </c>
      <c r="D27" s="6">
        <v>2</v>
      </c>
      <c r="E27" s="6">
        <v>7.5</v>
      </c>
      <c r="F27" s="11">
        <f t="shared" si="1"/>
        <v>7.7833333333333332</v>
      </c>
      <c r="G27" s="10">
        <v>10</v>
      </c>
      <c r="H27" s="10">
        <f t="shared" si="2"/>
        <v>8.67</v>
      </c>
      <c r="I27" s="10">
        <v>10</v>
      </c>
      <c r="J27" s="6" t="str">
        <f t="shared" si="3"/>
        <v>APROVADO</v>
      </c>
      <c r="K27" s="7">
        <v>6</v>
      </c>
      <c r="L27" s="7">
        <f>4*0.25</f>
        <v>1</v>
      </c>
      <c r="M27" s="7">
        <v>15</v>
      </c>
      <c r="N27" s="7">
        <v>0</v>
      </c>
      <c r="O27" s="7">
        <v>9</v>
      </c>
      <c r="P27" s="7">
        <v>20</v>
      </c>
      <c r="Q27" s="7">
        <v>20</v>
      </c>
      <c r="R27" s="7">
        <v>20</v>
      </c>
      <c r="S27" s="7">
        <v>20</v>
      </c>
      <c r="T27" s="7"/>
      <c r="U27" s="7"/>
      <c r="V27" s="7"/>
      <c r="W27" s="7"/>
      <c r="X27" s="7"/>
      <c r="Y27" s="7"/>
      <c r="Z27" s="7"/>
      <c r="AB27" s="7"/>
      <c r="AC27" s="7"/>
      <c r="AD27" s="7"/>
      <c r="AE27" s="7"/>
    </row>
    <row r="28" spans="1:31" ht="19.2" x14ac:dyDescent="0.35">
      <c r="A28" s="8">
        <v>23</v>
      </c>
      <c r="B28" s="9" t="s">
        <v>83</v>
      </c>
      <c r="C28" s="10">
        <f t="shared" si="0"/>
        <v>11.455555555555556</v>
      </c>
      <c r="D28" s="6">
        <v>3</v>
      </c>
      <c r="E28" s="6">
        <v>5</v>
      </c>
      <c r="F28" s="11">
        <f t="shared" si="1"/>
        <v>6.982222222222223</v>
      </c>
      <c r="G28" s="10">
        <v>6</v>
      </c>
      <c r="H28" s="10">
        <f t="shared" si="2"/>
        <v>6.5893333333333342</v>
      </c>
      <c r="I28" s="10" t="s">
        <v>15</v>
      </c>
      <c r="J28" s="6" t="str">
        <f t="shared" si="3"/>
        <v>REPROVADO</v>
      </c>
      <c r="K28" s="7">
        <v>0</v>
      </c>
      <c r="L28" s="7">
        <f>4*0.4</f>
        <v>1.6</v>
      </c>
      <c r="M28" s="7">
        <v>0</v>
      </c>
      <c r="N28" s="7">
        <v>15</v>
      </c>
      <c r="O28" s="7">
        <v>6.5</v>
      </c>
      <c r="P28" s="7">
        <v>20</v>
      </c>
      <c r="Q28" s="7">
        <v>20</v>
      </c>
      <c r="R28" s="7">
        <v>20</v>
      </c>
      <c r="S28" s="7">
        <v>20</v>
      </c>
      <c r="T28" s="7"/>
      <c r="U28" s="7"/>
      <c r="V28" s="7"/>
      <c r="W28" s="7"/>
      <c r="X28" s="7"/>
      <c r="Y28" s="7"/>
      <c r="Z28" s="7"/>
      <c r="AB28" s="7"/>
      <c r="AC28" s="7"/>
      <c r="AD28" s="7"/>
      <c r="AE28" s="7"/>
    </row>
    <row r="29" spans="1:31" ht="19.2" x14ac:dyDescent="0.35">
      <c r="A29" s="8">
        <v>24</v>
      </c>
      <c r="B29" s="9" t="s">
        <v>84</v>
      </c>
      <c r="C29" s="10">
        <f t="shared" si="0"/>
        <v>8.7357142857142858</v>
      </c>
      <c r="D29" s="6">
        <v>4</v>
      </c>
      <c r="E29" s="6">
        <v>2.5</v>
      </c>
      <c r="F29" s="11">
        <f t="shared" si="1"/>
        <v>5.4442857142857148</v>
      </c>
      <c r="G29" s="10" t="s">
        <v>15</v>
      </c>
      <c r="H29" s="10">
        <f t="shared" si="2"/>
        <v>3.2665714285714289</v>
      </c>
      <c r="I29" s="10" t="s">
        <v>15</v>
      </c>
      <c r="J29" s="6" t="str">
        <f t="shared" si="3"/>
        <v>REPROVADO</v>
      </c>
      <c r="K29" s="7">
        <v>0</v>
      </c>
      <c r="L29" s="7">
        <f>4*0.1</f>
        <v>0.4</v>
      </c>
      <c r="M29" s="7">
        <v>15</v>
      </c>
      <c r="N29" s="7">
        <v>0</v>
      </c>
      <c r="O29" s="7">
        <v>5.75</v>
      </c>
      <c r="P29" s="7">
        <v>20</v>
      </c>
      <c r="Q29" s="7">
        <v>20</v>
      </c>
      <c r="R29" s="7"/>
      <c r="S29" s="7"/>
      <c r="T29" s="7"/>
      <c r="U29" s="7"/>
      <c r="V29" s="7"/>
      <c r="W29" s="7"/>
      <c r="X29" s="7"/>
      <c r="Y29" s="7"/>
      <c r="Z29" s="7"/>
      <c r="AB29" s="7"/>
      <c r="AC29" s="7"/>
      <c r="AD29" s="7"/>
      <c r="AE29" s="7"/>
    </row>
    <row r="30" spans="1:31" ht="19.2" x14ac:dyDescent="0.35">
      <c r="A30" s="8">
        <v>25</v>
      </c>
      <c r="B30" s="9" t="s">
        <v>85</v>
      </c>
      <c r="C30" s="10">
        <f t="shared" si="0"/>
        <v>12.777777777777779</v>
      </c>
      <c r="D30" s="6">
        <v>10</v>
      </c>
      <c r="E30" s="6">
        <v>5</v>
      </c>
      <c r="F30" s="11">
        <f t="shared" si="1"/>
        <v>9.6111111111111107</v>
      </c>
      <c r="G30" s="10">
        <v>6</v>
      </c>
      <c r="H30" s="10">
        <f t="shared" si="2"/>
        <v>8.1666666666666679</v>
      </c>
      <c r="I30" s="10">
        <v>10</v>
      </c>
      <c r="J30" s="6" t="str">
        <f t="shared" si="3"/>
        <v>APROVADO</v>
      </c>
      <c r="K30" s="7">
        <v>1</v>
      </c>
      <c r="L30" s="7">
        <f>4*0</f>
        <v>0</v>
      </c>
      <c r="M30" s="7">
        <v>15</v>
      </c>
      <c r="N30" s="7">
        <v>15</v>
      </c>
      <c r="O30" s="7">
        <v>4</v>
      </c>
      <c r="P30" s="7">
        <v>20</v>
      </c>
      <c r="Q30" s="7">
        <v>20</v>
      </c>
      <c r="R30" s="7">
        <v>20</v>
      </c>
      <c r="S30" s="7">
        <v>20</v>
      </c>
      <c r="T30" s="7"/>
      <c r="U30" s="7"/>
      <c r="V30" s="7"/>
      <c r="W30" s="7"/>
      <c r="X30" s="7"/>
      <c r="Y30" s="7"/>
      <c r="Z30" s="7"/>
      <c r="AB30" s="7"/>
      <c r="AC30" s="7"/>
      <c r="AD30" s="7"/>
      <c r="AE30" s="7"/>
    </row>
    <row r="31" spans="1:31" ht="19.2" x14ac:dyDescent="0.35">
      <c r="A31" s="8">
        <v>26</v>
      </c>
      <c r="B31" s="9" t="s">
        <v>86</v>
      </c>
      <c r="C31" s="10">
        <f t="shared" si="0"/>
        <v>11.955555555555556</v>
      </c>
      <c r="D31" s="6">
        <v>9</v>
      </c>
      <c r="E31" s="6">
        <v>5</v>
      </c>
      <c r="F31" s="11">
        <f t="shared" si="1"/>
        <v>8.982222222222223</v>
      </c>
      <c r="G31" s="10">
        <v>6</v>
      </c>
      <c r="H31" s="10">
        <f t="shared" si="2"/>
        <v>7.7893333333333343</v>
      </c>
      <c r="I31" s="10">
        <v>10</v>
      </c>
      <c r="J31" s="6" t="str">
        <f t="shared" si="3"/>
        <v>APROVADO</v>
      </c>
      <c r="K31" s="7">
        <v>3</v>
      </c>
      <c r="L31" s="7">
        <f>4*2.4</f>
        <v>9.6</v>
      </c>
      <c r="M31" s="7">
        <v>0</v>
      </c>
      <c r="N31" s="7">
        <v>15</v>
      </c>
      <c r="O31" s="7">
        <v>0</v>
      </c>
      <c r="P31" s="7">
        <v>20</v>
      </c>
      <c r="Q31" s="7">
        <v>20</v>
      </c>
      <c r="R31" s="7">
        <v>20</v>
      </c>
      <c r="S31" s="7">
        <v>20</v>
      </c>
      <c r="T31" s="7"/>
      <c r="U31" s="7"/>
      <c r="V31" s="7"/>
      <c r="W31" s="7"/>
      <c r="X31" s="7"/>
      <c r="Y31" s="7"/>
      <c r="Z31" s="7"/>
      <c r="AB31" s="7"/>
      <c r="AC31" s="7"/>
      <c r="AD31" s="7"/>
      <c r="AE31" s="7"/>
    </row>
    <row r="32" spans="1:31" ht="19.2" x14ac:dyDescent="0.35">
      <c r="A32" s="8">
        <v>27</v>
      </c>
      <c r="B32" s="9" t="s">
        <v>87</v>
      </c>
      <c r="C32" s="10">
        <f t="shared" si="0"/>
        <v>14.594444444444443</v>
      </c>
      <c r="D32" s="6">
        <v>8</v>
      </c>
      <c r="E32" s="6">
        <v>10</v>
      </c>
      <c r="F32" s="11">
        <f t="shared" si="1"/>
        <v>11.237777777777776</v>
      </c>
      <c r="G32" s="10">
        <v>10</v>
      </c>
      <c r="H32" s="10">
        <f t="shared" si="2"/>
        <v>10.742666666666665</v>
      </c>
      <c r="I32" s="10" t="s">
        <v>15</v>
      </c>
      <c r="J32" s="6" t="str">
        <f t="shared" si="3"/>
        <v>APROVADO</v>
      </c>
      <c r="K32" s="7">
        <v>6</v>
      </c>
      <c r="L32" s="7">
        <f>4*0.9</f>
        <v>3.6</v>
      </c>
      <c r="M32" s="7">
        <v>15</v>
      </c>
      <c r="N32" s="7">
        <v>15</v>
      </c>
      <c r="O32" s="7">
        <v>11.75</v>
      </c>
      <c r="P32" s="7">
        <v>20</v>
      </c>
      <c r="Q32" s="7">
        <v>20</v>
      </c>
      <c r="R32" s="7">
        <v>20</v>
      </c>
      <c r="S32" s="7">
        <v>20</v>
      </c>
      <c r="T32" s="7"/>
      <c r="U32" s="7"/>
      <c r="V32" s="7"/>
      <c r="W32" s="7"/>
      <c r="X32" s="7"/>
      <c r="Y32" s="7"/>
      <c r="Z32" s="7"/>
      <c r="AB32" s="7"/>
      <c r="AC32" s="7"/>
      <c r="AD32" s="7"/>
      <c r="AE32" s="7"/>
    </row>
    <row r="33" spans="1:31" ht="19.2" x14ac:dyDescent="0.35">
      <c r="A33" s="8">
        <v>28</v>
      </c>
      <c r="B33" s="9" t="s">
        <v>88</v>
      </c>
      <c r="C33" s="10">
        <f t="shared" si="0"/>
        <v>8.8888888888888893</v>
      </c>
      <c r="D33" s="6" t="s">
        <v>15</v>
      </c>
      <c r="E33" s="6">
        <v>15</v>
      </c>
      <c r="F33" s="11">
        <f t="shared" si="1"/>
        <v>8.0555555555555554</v>
      </c>
      <c r="G33" s="10">
        <v>14</v>
      </c>
      <c r="H33" s="10">
        <f t="shared" si="2"/>
        <v>10.433333333333334</v>
      </c>
      <c r="I33" s="10" t="s">
        <v>15</v>
      </c>
      <c r="J33" s="6" t="str">
        <f t="shared" si="3"/>
        <v>APROVADO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20</v>
      </c>
      <c r="Q33" s="7">
        <v>20</v>
      </c>
      <c r="R33" s="7">
        <v>20</v>
      </c>
      <c r="S33" s="7">
        <v>20</v>
      </c>
      <c r="T33" s="7"/>
      <c r="U33" s="7"/>
      <c r="V33" s="7"/>
      <c r="W33" s="7"/>
      <c r="X33" s="7"/>
      <c r="Y33" s="7"/>
      <c r="Z33" s="7"/>
      <c r="AB33" s="7"/>
      <c r="AC33" s="7"/>
      <c r="AD33" s="7"/>
      <c r="AE33" s="7"/>
    </row>
    <row r="34" spans="1:31" ht="19.2" x14ac:dyDescent="0.35">
      <c r="A34" s="8">
        <v>29</v>
      </c>
      <c r="B34" s="9" t="s">
        <v>89</v>
      </c>
      <c r="C34" s="10">
        <f t="shared" si="0"/>
        <v>13.805555555555555</v>
      </c>
      <c r="D34" s="6">
        <v>6</v>
      </c>
      <c r="E34" s="6">
        <v>5</v>
      </c>
      <c r="F34" s="11">
        <f t="shared" si="1"/>
        <v>8.8222222222222229</v>
      </c>
      <c r="G34" s="10">
        <v>8</v>
      </c>
      <c r="H34" s="10">
        <f t="shared" si="2"/>
        <v>8.4933333333333341</v>
      </c>
      <c r="I34" s="10">
        <v>5</v>
      </c>
      <c r="J34" s="6" t="str">
        <f t="shared" si="3"/>
        <v>REPROVADO</v>
      </c>
      <c r="K34" s="7">
        <v>5</v>
      </c>
      <c r="L34" s="7">
        <f>4*0.5</f>
        <v>2</v>
      </c>
      <c r="M34" s="7">
        <v>15</v>
      </c>
      <c r="N34" s="7">
        <v>15</v>
      </c>
      <c r="O34" s="7">
        <v>7.25</v>
      </c>
      <c r="P34" s="7">
        <v>20</v>
      </c>
      <c r="Q34" s="7">
        <v>20</v>
      </c>
      <c r="R34" s="7">
        <v>20</v>
      </c>
      <c r="S34" s="7">
        <v>20</v>
      </c>
      <c r="T34" s="7"/>
      <c r="U34" s="7"/>
      <c r="V34" s="7"/>
      <c r="W34" s="7"/>
      <c r="X34" s="7"/>
      <c r="Y34" s="7"/>
      <c r="Z34" s="7"/>
      <c r="AB34" s="7"/>
      <c r="AC34" s="7"/>
      <c r="AD34" s="7"/>
      <c r="AE34" s="7"/>
    </row>
    <row r="35" spans="1:31" ht="19.2" x14ac:dyDescent="0.35">
      <c r="A35" s="8">
        <v>30</v>
      </c>
      <c r="B35" s="9" t="s">
        <v>90</v>
      </c>
      <c r="C35" s="10">
        <f t="shared" si="0"/>
        <v>13.722222222222221</v>
      </c>
      <c r="D35" s="6">
        <v>7</v>
      </c>
      <c r="E35" s="6">
        <v>12.5</v>
      </c>
      <c r="F35" s="11">
        <f t="shared" si="1"/>
        <v>11.338888888888889</v>
      </c>
      <c r="G35" s="10">
        <v>6</v>
      </c>
      <c r="H35" s="10">
        <f t="shared" si="2"/>
        <v>9.2033333333333331</v>
      </c>
      <c r="I35" s="10">
        <v>10</v>
      </c>
      <c r="J35" s="6" t="str">
        <f t="shared" si="3"/>
        <v>APROVADO</v>
      </c>
      <c r="K35" s="7">
        <v>2</v>
      </c>
      <c r="L35" s="7">
        <f>4*1.5</f>
        <v>6</v>
      </c>
      <c r="M35" s="7">
        <v>15</v>
      </c>
      <c r="N35" s="7">
        <v>15</v>
      </c>
      <c r="O35" s="7">
        <v>5.5</v>
      </c>
      <c r="P35" s="7">
        <v>20</v>
      </c>
      <c r="Q35" s="7">
        <v>20</v>
      </c>
      <c r="R35" s="7">
        <v>20</v>
      </c>
      <c r="S35" s="7">
        <v>20</v>
      </c>
      <c r="T35" s="7"/>
      <c r="U35" s="7"/>
      <c r="V35" s="7"/>
      <c r="W35" s="7"/>
      <c r="X35" s="7"/>
      <c r="Y35" s="7"/>
      <c r="Z35" s="7"/>
      <c r="AB35" s="7"/>
      <c r="AC35" s="7"/>
      <c r="AD35" s="7"/>
      <c r="AE35" s="7"/>
    </row>
    <row r="36" spans="1:31" ht="19.2" x14ac:dyDescent="0.35">
      <c r="A36" s="8">
        <v>31</v>
      </c>
      <c r="B36" s="9" t="s">
        <v>91</v>
      </c>
      <c r="C36" s="10">
        <f t="shared" si="0"/>
        <v>10</v>
      </c>
      <c r="D36" s="6">
        <v>3</v>
      </c>
      <c r="E36" s="6">
        <v>17.5</v>
      </c>
      <c r="F36" s="11">
        <f t="shared" si="1"/>
        <v>10.149999999999999</v>
      </c>
      <c r="G36" s="10">
        <v>6</v>
      </c>
      <c r="H36" s="10">
        <f t="shared" si="2"/>
        <v>8.4899999999999984</v>
      </c>
      <c r="I36" s="10">
        <v>8</v>
      </c>
      <c r="J36" s="6" t="str">
        <f t="shared" si="3"/>
        <v>APROVADO</v>
      </c>
      <c r="K36" s="7">
        <v>6</v>
      </c>
      <c r="L36" s="7">
        <f>4*0</f>
        <v>0</v>
      </c>
      <c r="M36" s="7">
        <v>0</v>
      </c>
      <c r="N36" s="7">
        <v>0</v>
      </c>
      <c r="O36" s="7">
        <v>4</v>
      </c>
      <c r="P36" s="7">
        <v>20</v>
      </c>
      <c r="Q36" s="7">
        <v>20</v>
      </c>
      <c r="R36" s="7">
        <v>20</v>
      </c>
      <c r="S36" s="7">
        <v>20</v>
      </c>
      <c r="T36" s="7"/>
      <c r="U36" s="7"/>
      <c r="V36" s="7"/>
      <c r="W36" s="7"/>
      <c r="X36" s="7"/>
      <c r="Y36" s="7"/>
      <c r="Z36" s="7"/>
      <c r="AB36" s="7"/>
      <c r="AC36" s="7"/>
      <c r="AD36" s="7"/>
      <c r="AE36" s="7"/>
    </row>
    <row r="37" spans="1:31" ht="19.2" x14ac:dyDescent="0.35">
      <c r="A37" s="8">
        <v>32</v>
      </c>
      <c r="B37" s="9" t="s">
        <v>92</v>
      </c>
      <c r="C37" s="10">
        <f t="shared" si="0"/>
        <v>14.883333333333333</v>
      </c>
      <c r="D37" s="6">
        <v>6</v>
      </c>
      <c r="E37" s="6">
        <v>12.5</v>
      </c>
      <c r="F37" s="11">
        <f t="shared" si="1"/>
        <v>11.503333333333334</v>
      </c>
      <c r="G37" s="10">
        <v>12</v>
      </c>
      <c r="H37" s="10">
        <f t="shared" si="2"/>
        <v>11.702000000000002</v>
      </c>
      <c r="I37" s="10" t="s">
        <v>15</v>
      </c>
      <c r="J37" s="6" t="str">
        <f t="shared" si="3"/>
        <v>APROVADO</v>
      </c>
      <c r="K37" s="7">
        <v>3</v>
      </c>
      <c r="L37" s="7">
        <f>4*2.3</f>
        <v>9.1999999999999993</v>
      </c>
      <c r="M37" s="7">
        <v>15</v>
      </c>
      <c r="N37" s="7">
        <v>15</v>
      </c>
      <c r="O37" s="7">
        <v>11.75</v>
      </c>
      <c r="P37" s="7">
        <v>20</v>
      </c>
      <c r="Q37" s="7">
        <v>20</v>
      </c>
      <c r="R37" s="7">
        <v>20</v>
      </c>
      <c r="S37" s="7">
        <v>20</v>
      </c>
      <c r="T37" s="7"/>
      <c r="U37" s="7"/>
      <c r="V37" s="7"/>
      <c r="W37" s="7"/>
      <c r="X37" s="7"/>
      <c r="Y37" s="7"/>
      <c r="Z37" s="7"/>
      <c r="AB37" s="7"/>
      <c r="AC37" s="7"/>
      <c r="AD37" s="7"/>
      <c r="AE37" s="7"/>
    </row>
    <row r="38" spans="1:31" ht="15.75" customHeight="1" x14ac:dyDescent="0.35">
      <c r="A38" s="8">
        <v>33</v>
      </c>
      <c r="B38" s="9" t="s">
        <v>93</v>
      </c>
      <c r="C38" s="10">
        <f t="shared" si="0"/>
        <v>12.977777777777778</v>
      </c>
      <c r="D38" s="6">
        <v>3</v>
      </c>
      <c r="E38" s="6">
        <v>7.5</v>
      </c>
      <c r="F38" s="11">
        <f t="shared" si="1"/>
        <v>8.3411111111111111</v>
      </c>
      <c r="G38" s="10">
        <v>10</v>
      </c>
      <c r="H38" s="10">
        <f t="shared" si="2"/>
        <v>9.0046666666666653</v>
      </c>
      <c r="I38" s="10" t="s">
        <v>15</v>
      </c>
      <c r="J38" s="6" t="str">
        <f t="shared" si="3"/>
        <v>REPROVADO</v>
      </c>
      <c r="K38" s="7">
        <v>0</v>
      </c>
      <c r="L38" s="7">
        <f>4*0.7</f>
        <v>2.8</v>
      </c>
      <c r="M38" s="7">
        <v>15</v>
      </c>
      <c r="N38" s="7">
        <v>15</v>
      </c>
      <c r="O38" s="7">
        <v>4</v>
      </c>
      <c r="P38" s="7">
        <v>20</v>
      </c>
      <c r="Q38" s="7">
        <v>20</v>
      </c>
      <c r="R38" s="7">
        <v>20</v>
      </c>
      <c r="S38" s="7">
        <v>20</v>
      </c>
      <c r="T38" s="7"/>
      <c r="U38" s="7"/>
      <c r="V38" s="7"/>
      <c r="W38" s="7"/>
      <c r="X38" s="7"/>
      <c r="Y38" s="7"/>
      <c r="Z38" s="7"/>
      <c r="AB38" s="7"/>
      <c r="AC38" s="7"/>
      <c r="AD38" s="7"/>
      <c r="AE38" s="7"/>
    </row>
    <row r="39" spans="1:31" ht="15.75" customHeight="1" x14ac:dyDescent="0.35">
      <c r="A39" s="8">
        <v>34</v>
      </c>
      <c r="B39" s="9" t="s">
        <v>94</v>
      </c>
      <c r="C39" s="10">
        <f t="shared" si="0"/>
        <v>12.711111111111112</v>
      </c>
      <c r="D39" s="6">
        <v>11</v>
      </c>
      <c r="E39" s="6">
        <v>2.5</v>
      </c>
      <c r="F39" s="11">
        <f t="shared" si="1"/>
        <v>9.1344444444444441</v>
      </c>
      <c r="G39" s="10">
        <v>12</v>
      </c>
      <c r="H39" s="10">
        <f t="shared" si="2"/>
        <v>10.280666666666667</v>
      </c>
      <c r="I39" s="10" t="s">
        <v>15</v>
      </c>
      <c r="J39" s="6" t="str">
        <f t="shared" si="3"/>
        <v>APROVADO</v>
      </c>
      <c r="K39" s="7">
        <v>5</v>
      </c>
      <c r="L39" s="7">
        <f>4*0.1</f>
        <v>0.4</v>
      </c>
      <c r="M39" s="7">
        <v>15</v>
      </c>
      <c r="N39" s="7">
        <v>0</v>
      </c>
      <c r="O39" s="7">
        <v>14</v>
      </c>
      <c r="P39" s="7">
        <v>20</v>
      </c>
      <c r="Q39" s="7">
        <v>20</v>
      </c>
      <c r="R39" s="7">
        <v>20</v>
      </c>
      <c r="S39" s="7">
        <v>20</v>
      </c>
      <c r="T39" s="7"/>
      <c r="U39" s="7"/>
      <c r="V39" s="7"/>
      <c r="W39" s="7"/>
      <c r="X39" s="7"/>
      <c r="Y39" s="7"/>
      <c r="Z39" s="7"/>
      <c r="AB39" s="7"/>
      <c r="AC39" s="7"/>
      <c r="AD39" s="7"/>
      <c r="AE39" s="7"/>
    </row>
    <row r="40" spans="1:31" ht="15.75" customHeight="1" x14ac:dyDescent="0.35">
      <c r="A40" s="8">
        <v>35</v>
      </c>
      <c r="B40" s="9" t="s">
        <v>95</v>
      </c>
      <c r="C40" s="10">
        <f t="shared" si="0"/>
        <v>13.166666666666666</v>
      </c>
      <c r="D40" s="6">
        <v>11</v>
      </c>
      <c r="E40" s="6">
        <v>7.5</v>
      </c>
      <c r="F40" s="11">
        <f t="shared" si="1"/>
        <v>10.816666666666666</v>
      </c>
      <c r="G40" s="10">
        <v>12</v>
      </c>
      <c r="H40" s="10">
        <f t="shared" si="2"/>
        <v>11.29</v>
      </c>
      <c r="I40" s="10" t="s">
        <v>15</v>
      </c>
      <c r="J40" s="6" t="str">
        <f t="shared" si="3"/>
        <v>APROVADO</v>
      </c>
      <c r="K40" s="7">
        <v>0</v>
      </c>
      <c r="L40" s="7">
        <f>4*0.5</f>
        <v>2</v>
      </c>
      <c r="M40" s="7">
        <v>15</v>
      </c>
      <c r="N40" s="7">
        <v>15</v>
      </c>
      <c r="O40" s="7">
        <v>6.5</v>
      </c>
      <c r="P40" s="7">
        <v>20</v>
      </c>
      <c r="Q40" s="7">
        <v>20</v>
      </c>
      <c r="R40" s="7">
        <v>20</v>
      </c>
      <c r="S40" s="7">
        <v>20</v>
      </c>
      <c r="T40" s="7"/>
      <c r="U40" s="7"/>
      <c r="V40" s="7"/>
      <c r="W40" s="7"/>
      <c r="X40" s="7"/>
      <c r="Y40" s="7"/>
      <c r="Z40" s="7"/>
      <c r="AB40" s="7"/>
      <c r="AC40" s="7"/>
      <c r="AD40" s="7"/>
      <c r="AE40" s="7"/>
    </row>
    <row r="41" spans="1:31" ht="15.75" customHeight="1" x14ac:dyDescent="0.35">
      <c r="A41" s="8">
        <v>36</v>
      </c>
      <c r="B41" s="9" t="s">
        <v>96</v>
      </c>
      <c r="C41" s="10">
        <f t="shared" si="0"/>
        <v>9.5555555555555554</v>
      </c>
      <c r="D41" s="6">
        <v>4</v>
      </c>
      <c r="E41" s="6">
        <v>5</v>
      </c>
      <c r="F41" s="11">
        <f t="shared" si="1"/>
        <v>6.5222222222222221</v>
      </c>
      <c r="G41" s="10">
        <v>12</v>
      </c>
      <c r="H41" s="10">
        <f t="shared" si="2"/>
        <v>8.7133333333333347</v>
      </c>
      <c r="I41" s="10" t="s">
        <v>15</v>
      </c>
      <c r="J41" s="6" t="str">
        <f t="shared" si="3"/>
        <v>REPROVADO</v>
      </c>
      <c r="K41" s="7">
        <v>2</v>
      </c>
      <c r="L41" s="7">
        <f>4*0</f>
        <v>0</v>
      </c>
      <c r="M41" s="7">
        <v>0</v>
      </c>
      <c r="N41" s="7">
        <v>0</v>
      </c>
      <c r="O41" s="7">
        <v>4</v>
      </c>
      <c r="P41" s="7">
        <v>20</v>
      </c>
      <c r="Q41" s="7">
        <v>20</v>
      </c>
      <c r="R41" s="7">
        <v>20</v>
      </c>
      <c r="S41" s="7">
        <v>20</v>
      </c>
      <c r="T41" s="7"/>
      <c r="U41" s="7"/>
      <c r="V41" s="7"/>
      <c r="W41" s="7"/>
      <c r="X41" s="7"/>
      <c r="Y41" s="7"/>
      <c r="Z41" s="7"/>
      <c r="AB41" s="7"/>
      <c r="AC41" s="7"/>
      <c r="AD41" s="7"/>
      <c r="AE41" s="7"/>
    </row>
    <row r="42" spans="1:31" ht="15.75" customHeight="1" x14ac:dyDescent="0.35">
      <c r="A42" s="8">
        <v>37</v>
      </c>
      <c r="B42" s="9" t="s">
        <v>97</v>
      </c>
      <c r="C42" s="10">
        <f t="shared" si="0"/>
        <v>11.044444444444444</v>
      </c>
      <c r="D42" s="6">
        <v>7</v>
      </c>
      <c r="E42" s="6">
        <v>0</v>
      </c>
      <c r="F42" s="11">
        <f t="shared" si="1"/>
        <v>6.5177777777777788</v>
      </c>
      <c r="G42" s="10">
        <v>2</v>
      </c>
      <c r="H42" s="10">
        <f t="shared" si="2"/>
        <v>4.7106666666666674</v>
      </c>
      <c r="I42" s="10">
        <v>10</v>
      </c>
      <c r="J42" s="6" t="str">
        <f t="shared" si="3"/>
        <v>APROVADO</v>
      </c>
      <c r="K42" s="7">
        <v>0</v>
      </c>
      <c r="L42" s="7">
        <f>4*0.1</f>
        <v>0.4</v>
      </c>
      <c r="M42" s="7">
        <v>15</v>
      </c>
      <c r="N42" s="7">
        <v>0</v>
      </c>
      <c r="O42" s="7">
        <v>4</v>
      </c>
      <c r="P42" s="7">
        <v>20</v>
      </c>
      <c r="Q42" s="7">
        <v>20</v>
      </c>
      <c r="R42" s="7">
        <v>20</v>
      </c>
      <c r="S42" s="7">
        <v>20</v>
      </c>
      <c r="T42" s="7"/>
      <c r="U42" s="7"/>
      <c r="V42" s="7"/>
      <c r="W42" s="7"/>
      <c r="X42" s="7"/>
      <c r="Y42" s="7"/>
      <c r="Z42" s="7"/>
      <c r="AB42" s="7"/>
      <c r="AC42" s="7"/>
      <c r="AD42" s="7"/>
      <c r="AE42" s="7"/>
    </row>
    <row r="43" spans="1:31" ht="15.75" customHeight="1" x14ac:dyDescent="0.35">
      <c r="A43" s="8">
        <v>38</v>
      </c>
      <c r="B43" s="9" t="s">
        <v>98</v>
      </c>
      <c r="C43" s="10">
        <f t="shared" si="0"/>
        <v>13.177777777777777</v>
      </c>
      <c r="D43" s="6">
        <v>9</v>
      </c>
      <c r="E43" s="6">
        <v>7.5</v>
      </c>
      <c r="F43" s="11">
        <f t="shared" si="1"/>
        <v>10.22111111111111</v>
      </c>
      <c r="G43" s="10">
        <v>8</v>
      </c>
      <c r="H43" s="10">
        <f t="shared" si="2"/>
        <v>9.3326666666666664</v>
      </c>
      <c r="I43" s="10">
        <v>5</v>
      </c>
      <c r="J43" s="6" t="str">
        <f t="shared" si="3"/>
        <v>REPROVADO</v>
      </c>
      <c r="K43" s="7">
        <v>0</v>
      </c>
      <c r="L43" s="7">
        <f>4*1.15</f>
        <v>4.5999999999999996</v>
      </c>
      <c r="M43" s="7">
        <v>15</v>
      </c>
      <c r="N43" s="7">
        <v>15</v>
      </c>
      <c r="O43" s="7">
        <v>4</v>
      </c>
      <c r="P43" s="7">
        <v>20</v>
      </c>
      <c r="Q43" s="7">
        <v>20</v>
      </c>
      <c r="R43" s="7">
        <v>20</v>
      </c>
      <c r="S43" s="7">
        <v>20</v>
      </c>
      <c r="T43" s="7"/>
      <c r="U43" s="7"/>
      <c r="V43" s="7"/>
      <c r="W43" s="7"/>
      <c r="X43" s="7"/>
      <c r="Y43" s="7"/>
      <c r="Z43" s="7"/>
      <c r="AB43" s="7"/>
      <c r="AC43" s="7"/>
      <c r="AD43" s="7"/>
      <c r="AE43" s="7"/>
    </row>
    <row r="44" spans="1:31" ht="15.75" customHeight="1" x14ac:dyDescent="0.35">
      <c r="A44" s="8">
        <v>39</v>
      </c>
      <c r="B44" s="9" t="s">
        <v>99</v>
      </c>
      <c r="C44" s="10">
        <f t="shared" si="0"/>
        <v>13.183333333333334</v>
      </c>
      <c r="D44" s="6">
        <v>15</v>
      </c>
      <c r="E44" s="6">
        <v>5</v>
      </c>
      <c r="F44" s="11">
        <f t="shared" si="1"/>
        <v>11.273333333333333</v>
      </c>
      <c r="G44" s="10">
        <v>10</v>
      </c>
      <c r="H44" s="10">
        <f t="shared" si="2"/>
        <v>10.763999999999999</v>
      </c>
      <c r="I44" s="10" t="s">
        <v>15</v>
      </c>
      <c r="J44" s="6" t="str">
        <f t="shared" si="3"/>
        <v>APROVADO</v>
      </c>
      <c r="K44" s="7">
        <v>0</v>
      </c>
      <c r="L44" s="7">
        <f>4*0.6</f>
        <v>2.4</v>
      </c>
      <c r="M44" s="7">
        <v>15</v>
      </c>
      <c r="N44" s="7">
        <v>15</v>
      </c>
      <c r="O44" s="7">
        <v>6.25</v>
      </c>
      <c r="P44" s="7">
        <v>20</v>
      </c>
      <c r="Q44" s="7">
        <v>20</v>
      </c>
      <c r="R44" s="7">
        <v>20</v>
      </c>
      <c r="S44" s="7">
        <v>20</v>
      </c>
      <c r="T44" s="7"/>
      <c r="U44" s="7"/>
      <c r="V44" s="7"/>
      <c r="W44" s="7"/>
      <c r="X44" s="7"/>
      <c r="Y44" s="7"/>
      <c r="Z44" s="7"/>
      <c r="AB44" s="7"/>
      <c r="AC44" s="7"/>
      <c r="AD44" s="7"/>
      <c r="AE44" s="7"/>
    </row>
    <row r="45" spans="1:31" ht="15.75" customHeight="1" x14ac:dyDescent="0.35">
      <c r="A45" s="8">
        <v>40</v>
      </c>
      <c r="B45" s="9" t="s">
        <v>100</v>
      </c>
      <c r="C45" s="10">
        <f t="shared" si="0"/>
        <v>11.600000000000001</v>
      </c>
      <c r="D45" s="6">
        <v>6</v>
      </c>
      <c r="E45" s="6">
        <v>5</v>
      </c>
      <c r="F45" s="11">
        <f t="shared" si="1"/>
        <v>7.94</v>
      </c>
      <c r="G45" s="10">
        <v>4</v>
      </c>
      <c r="H45" s="10">
        <f t="shared" si="2"/>
        <v>6.3640000000000008</v>
      </c>
      <c r="I45" s="10">
        <v>9</v>
      </c>
      <c r="J45" s="6" t="str">
        <f t="shared" si="3"/>
        <v>APROVADO</v>
      </c>
      <c r="K45" s="7">
        <v>5</v>
      </c>
      <c r="L45" s="7">
        <f>4*0.1</f>
        <v>0.4</v>
      </c>
      <c r="M45" s="7">
        <v>15</v>
      </c>
      <c r="N45" s="7">
        <v>0</v>
      </c>
      <c r="O45" s="7">
        <v>4</v>
      </c>
      <c r="P45" s="7">
        <v>20</v>
      </c>
      <c r="Q45" s="7">
        <v>20</v>
      </c>
      <c r="R45" s="7">
        <v>20</v>
      </c>
      <c r="S45" s="7">
        <v>20</v>
      </c>
      <c r="T45" s="7"/>
      <c r="U45" s="7"/>
      <c r="V45" s="7"/>
      <c r="W45" s="7"/>
      <c r="X45" s="7"/>
      <c r="Y45" s="7"/>
      <c r="Z45" s="7"/>
      <c r="AB45" s="7"/>
      <c r="AC45" s="7"/>
      <c r="AD45" s="7"/>
      <c r="AE45" s="7"/>
    </row>
    <row r="46" spans="1:31" ht="15.75" customHeight="1" x14ac:dyDescent="0.35">
      <c r="A46" s="8">
        <v>41</v>
      </c>
      <c r="B46" s="9" t="s">
        <v>101</v>
      </c>
      <c r="C46" s="10">
        <f t="shared" si="0"/>
        <v>11.805555555555555</v>
      </c>
      <c r="D46" s="6">
        <v>6</v>
      </c>
      <c r="E46" s="6">
        <v>10</v>
      </c>
      <c r="F46" s="11">
        <f t="shared" si="1"/>
        <v>9.5222222222222221</v>
      </c>
      <c r="G46" s="10">
        <v>8</v>
      </c>
      <c r="H46" s="10">
        <f t="shared" si="2"/>
        <v>8.913333333333334</v>
      </c>
      <c r="I46" s="10">
        <v>10</v>
      </c>
      <c r="J46" s="6" t="str">
        <f t="shared" si="3"/>
        <v>APROVADO</v>
      </c>
      <c r="K46" s="7">
        <v>0</v>
      </c>
      <c r="L46" s="7">
        <f>4*1</f>
        <v>4</v>
      </c>
      <c r="M46" s="7">
        <v>0</v>
      </c>
      <c r="N46" s="7">
        <v>15</v>
      </c>
      <c r="O46" s="7">
        <v>7.25</v>
      </c>
      <c r="P46" s="7">
        <v>20</v>
      </c>
      <c r="Q46" s="7">
        <v>20</v>
      </c>
      <c r="R46" s="7">
        <v>20</v>
      </c>
      <c r="S46" s="7">
        <v>20</v>
      </c>
      <c r="T46" s="7"/>
      <c r="U46" s="7"/>
      <c r="V46" s="7"/>
      <c r="W46" s="7"/>
      <c r="X46" s="7"/>
      <c r="Y46" s="7"/>
      <c r="Z46" s="7"/>
      <c r="AB46" s="7"/>
      <c r="AC46" s="7"/>
      <c r="AD46" s="7"/>
      <c r="AE46" s="7"/>
    </row>
    <row r="47" spans="1:31" ht="15.75" customHeight="1" x14ac:dyDescent="0.35">
      <c r="A47" s="8">
        <v>42</v>
      </c>
      <c r="B47" s="9" t="s">
        <v>102</v>
      </c>
      <c r="C47" s="10">
        <f t="shared" si="0"/>
        <v>12.133333333333333</v>
      </c>
      <c r="D47" s="6">
        <v>9</v>
      </c>
      <c r="E47" s="6" t="s">
        <v>15</v>
      </c>
      <c r="F47" s="11">
        <f t="shared" si="1"/>
        <v>7.5533333333333328</v>
      </c>
      <c r="G47" s="10" t="s">
        <v>15</v>
      </c>
      <c r="H47" s="10">
        <f t="shared" si="2"/>
        <v>4.5319999999999991</v>
      </c>
      <c r="I47" s="10">
        <v>9</v>
      </c>
      <c r="J47" s="6" t="str">
        <f t="shared" si="3"/>
        <v>APROVADO</v>
      </c>
      <c r="K47" s="7">
        <v>0</v>
      </c>
      <c r="L47" s="7">
        <f>4*2.55</f>
        <v>10.199999999999999</v>
      </c>
      <c r="M47" s="7">
        <v>15</v>
      </c>
      <c r="N47" s="7">
        <v>0</v>
      </c>
      <c r="O47" s="7">
        <v>4</v>
      </c>
      <c r="P47" s="7">
        <v>20</v>
      </c>
      <c r="Q47" s="7">
        <v>20</v>
      </c>
      <c r="R47" s="7">
        <v>20</v>
      </c>
      <c r="S47" s="7">
        <v>20</v>
      </c>
      <c r="T47" s="7"/>
      <c r="U47" s="7"/>
      <c r="V47" s="7"/>
      <c r="W47" s="7"/>
      <c r="X47" s="7"/>
      <c r="Y47" s="7"/>
      <c r="Z47" s="7"/>
      <c r="AB47" s="7"/>
      <c r="AC47" s="7"/>
      <c r="AD47" s="7"/>
      <c r="AE47" s="7"/>
    </row>
    <row r="48" spans="1:31" ht="15.75" customHeight="1" x14ac:dyDescent="0.35">
      <c r="A48" s="8">
        <v>43</v>
      </c>
      <c r="B48" s="9" t="s">
        <v>103</v>
      </c>
      <c r="C48" s="10">
        <f t="shared" si="0"/>
        <v>13.166666666666666</v>
      </c>
      <c r="D48" s="6">
        <v>5</v>
      </c>
      <c r="E48" s="6">
        <v>5</v>
      </c>
      <c r="F48" s="11">
        <f t="shared" si="1"/>
        <v>8.2666666666666657</v>
      </c>
      <c r="G48" s="10">
        <v>8</v>
      </c>
      <c r="H48" s="10">
        <f t="shared" si="2"/>
        <v>8.16</v>
      </c>
      <c r="I48" s="10">
        <v>10</v>
      </c>
      <c r="J48" s="6" t="str">
        <f t="shared" si="3"/>
        <v>APROVADO</v>
      </c>
      <c r="K48" s="7">
        <v>2</v>
      </c>
      <c r="L48" s="7">
        <f>4*0</f>
        <v>0</v>
      </c>
      <c r="M48" s="7">
        <v>15</v>
      </c>
      <c r="N48" s="7">
        <v>15</v>
      </c>
      <c r="O48" s="7">
        <v>6.5</v>
      </c>
      <c r="P48" s="7">
        <v>20</v>
      </c>
      <c r="Q48" s="7">
        <v>20</v>
      </c>
      <c r="R48" s="7">
        <v>20</v>
      </c>
      <c r="S48" s="7">
        <v>20</v>
      </c>
      <c r="T48" s="7"/>
      <c r="U48" s="7"/>
      <c r="V48" s="7"/>
      <c r="W48" s="7"/>
      <c r="X48" s="7"/>
      <c r="Y48" s="7"/>
      <c r="Z48" s="7"/>
      <c r="AB48" s="7"/>
      <c r="AC48" s="7"/>
      <c r="AD48" s="7"/>
      <c r="AE48" s="7"/>
    </row>
    <row r="49" spans="1:31" ht="15.75" customHeight="1" x14ac:dyDescent="0.35">
      <c r="A49" s="8">
        <v>44</v>
      </c>
      <c r="B49" s="9" t="s">
        <v>104</v>
      </c>
      <c r="C49" s="10">
        <f t="shared" si="0"/>
        <v>10.844444444444443</v>
      </c>
      <c r="D49" s="31">
        <v>16</v>
      </c>
      <c r="E49" s="6">
        <v>10</v>
      </c>
      <c r="F49" s="11">
        <f t="shared" si="1"/>
        <v>12.137777777777778</v>
      </c>
      <c r="G49" s="10">
        <v>6</v>
      </c>
      <c r="H49" s="10">
        <f t="shared" si="2"/>
        <v>9.6826666666666661</v>
      </c>
      <c r="I49" s="10" t="s">
        <v>15</v>
      </c>
      <c r="J49" s="6" t="str">
        <f t="shared" si="3"/>
        <v>APROVADO</v>
      </c>
      <c r="K49" s="7">
        <v>14</v>
      </c>
      <c r="L49" s="7">
        <f>4*0.9</f>
        <v>3.6</v>
      </c>
      <c r="M49" s="7">
        <v>0</v>
      </c>
      <c r="N49" s="7">
        <v>0</v>
      </c>
      <c r="O49" s="7">
        <v>0</v>
      </c>
      <c r="P49" s="7">
        <v>20</v>
      </c>
      <c r="Q49" s="7">
        <v>20</v>
      </c>
      <c r="R49" s="7">
        <v>20</v>
      </c>
      <c r="S49" s="7">
        <v>20</v>
      </c>
      <c r="T49" s="7"/>
      <c r="U49" s="7"/>
      <c r="V49" s="7"/>
      <c r="W49" s="7"/>
      <c r="X49" s="7"/>
      <c r="Y49" s="7"/>
      <c r="Z49" s="7"/>
      <c r="AB49" s="7"/>
      <c r="AC49" s="7"/>
      <c r="AD49" s="7"/>
      <c r="AE49" s="7"/>
    </row>
    <row r="50" spans="1:31" ht="15.75" customHeight="1" x14ac:dyDescent="0.35">
      <c r="A50" s="8">
        <v>45</v>
      </c>
      <c r="B50" s="9" t="s">
        <v>105</v>
      </c>
      <c r="C50" s="10">
        <f t="shared" si="0"/>
        <v>14.566666666666666</v>
      </c>
      <c r="D50" s="6">
        <v>7</v>
      </c>
      <c r="E50" s="6">
        <v>10</v>
      </c>
      <c r="F50" s="11">
        <f t="shared" si="1"/>
        <v>10.926666666666666</v>
      </c>
      <c r="G50" s="10">
        <v>10</v>
      </c>
      <c r="H50" s="10">
        <f t="shared" si="2"/>
        <v>10.555999999999999</v>
      </c>
      <c r="I50" s="10" t="s">
        <v>15</v>
      </c>
      <c r="J50" s="6" t="str">
        <f t="shared" si="3"/>
        <v>APROVADO</v>
      </c>
      <c r="K50" s="7">
        <v>5</v>
      </c>
      <c r="L50" s="7">
        <f>4*2.4</f>
        <v>9.6</v>
      </c>
      <c r="M50" s="7">
        <v>15</v>
      </c>
      <c r="N50" s="7">
        <v>15</v>
      </c>
      <c r="O50" s="7">
        <v>6.5</v>
      </c>
      <c r="P50" s="7">
        <v>20</v>
      </c>
      <c r="Q50" s="7">
        <v>20</v>
      </c>
      <c r="R50" s="7">
        <v>20</v>
      </c>
      <c r="S50" s="7">
        <v>20</v>
      </c>
      <c r="T50" s="7"/>
      <c r="U50" s="7"/>
      <c r="V50" s="7"/>
      <c r="W50" s="7"/>
      <c r="X50" s="7"/>
      <c r="Y50" s="7"/>
      <c r="Z50" s="7"/>
      <c r="AB50" s="7"/>
      <c r="AC50" s="7"/>
      <c r="AD50" s="7"/>
      <c r="AE50" s="7"/>
    </row>
    <row r="51" spans="1:31" ht="15.75" customHeight="1" x14ac:dyDescent="0.35">
      <c r="A51" s="8">
        <v>46</v>
      </c>
      <c r="B51" s="9" t="s">
        <v>106</v>
      </c>
      <c r="C51" s="10">
        <f t="shared" si="0"/>
        <v>13.850000000000001</v>
      </c>
      <c r="D51" s="6">
        <v>0</v>
      </c>
      <c r="E51" s="6">
        <v>5</v>
      </c>
      <c r="F51" s="11">
        <f t="shared" si="1"/>
        <v>7.0400000000000009</v>
      </c>
      <c r="G51" s="10">
        <v>8</v>
      </c>
      <c r="H51" s="10">
        <f t="shared" si="2"/>
        <v>7.4240000000000004</v>
      </c>
      <c r="I51" s="10">
        <v>10</v>
      </c>
      <c r="J51" s="6" t="str">
        <f t="shared" si="3"/>
        <v>APROVADO</v>
      </c>
      <c r="K51" s="7">
        <v>8</v>
      </c>
      <c r="L51" s="7">
        <f>4*0.1</f>
        <v>0.4</v>
      </c>
      <c r="M51" s="7">
        <v>15</v>
      </c>
      <c r="N51" s="7">
        <v>15</v>
      </c>
      <c r="O51" s="7">
        <v>6.25</v>
      </c>
      <c r="P51" s="7">
        <v>20</v>
      </c>
      <c r="Q51" s="7">
        <v>20</v>
      </c>
      <c r="R51" s="7">
        <v>20</v>
      </c>
      <c r="S51" s="7">
        <v>20</v>
      </c>
      <c r="T51" s="7"/>
      <c r="U51" s="7"/>
      <c r="V51" s="7"/>
      <c r="W51" s="7"/>
      <c r="X51" s="7"/>
      <c r="Y51" s="7"/>
      <c r="Z51" s="7"/>
      <c r="AB51" s="7"/>
      <c r="AC51" s="7"/>
      <c r="AD51" s="7"/>
      <c r="AE51" s="7"/>
    </row>
    <row r="52" spans="1:31" ht="15.75" customHeight="1" x14ac:dyDescent="0.35">
      <c r="A52" s="8">
        <v>47</v>
      </c>
      <c r="B52" s="9" t="s">
        <v>107</v>
      </c>
      <c r="C52" s="10">
        <f t="shared" si="0"/>
        <v>15.327777777777776</v>
      </c>
      <c r="D52" s="6">
        <v>10</v>
      </c>
      <c r="E52" s="6">
        <v>2.5</v>
      </c>
      <c r="F52" s="11">
        <f t="shared" si="1"/>
        <v>9.8811111111111103</v>
      </c>
      <c r="G52" s="10">
        <v>6</v>
      </c>
      <c r="H52" s="10">
        <f t="shared" si="2"/>
        <v>8.3286666666666669</v>
      </c>
      <c r="I52" s="10">
        <v>9</v>
      </c>
      <c r="J52" s="6" t="str">
        <f t="shared" si="3"/>
        <v>APROVADO</v>
      </c>
      <c r="K52" s="7">
        <v>6</v>
      </c>
      <c r="L52" s="7">
        <f>4*2.8</f>
        <v>11.2</v>
      </c>
      <c r="M52" s="7">
        <v>15</v>
      </c>
      <c r="N52" s="7">
        <v>15</v>
      </c>
      <c r="O52" s="7">
        <v>10.75</v>
      </c>
      <c r="P52" s="7">
        <v>20</v>
      </c>
      <c r="Q52" s="7">
        <v>20</v>
      </c>
      <c r="R52" s="7">
        <v>20</v>
      </c>
      <c r="S52" s="7">
        <v>20</v>
      </c>
      <c r="T52" s="7"/>
      <c r="U52" s="7"/>
      <c r="V52" s="7"/>
      <c r="W52" s="7"/>
      <c r="X52" s="7"/>
      <c r="Y52" s="7"/>
      <c r="Z52" s="7"/>
      <c r="AB52" s="7"/>
      <c r="AC52" s="7"/>
      <c r="AD52" s="7"/>
      <c r="AE52" s="7"/>
    </row>
    <row r="53" spans="1:31" ht="15.75" customHeight="1" x14ac:dyDescent="0.35">
      <c r="A53" s="8">
        <v>48</v>
      </c>
      <c r="B53" s="9" t="s">
        <v>108</v>
      </c>
      <c r="C53" s="10">
        <f t="shared" si="0"/>
        <v>10</v>
      </c>
      <c r="D53" s="6">
        <v>2</v>
      </c>
      <c r="E53" s="6">
        <v>7.5</v>
      </c>
      <c r="F53" s="11">
        <f t="shared" si="1"/>
        <v>6.85</v>
      </c>
      <c r="G53" s="10">
        <v>6</v>
      </c>
      <c r="H53" s="10">
        <f t="shared" si="2"/>
        <v>6.51</v>
      </c>
      <c r="I53" s="10">
        <v>5</v>
      </c>
      <c r="J53" s="6" t="str">
        <f t="shared" si="3"/>
        <v>REPROVADO</v>
      </c>
      <c r="K53" s="7">
        <v>0</v>
      </c>
      <c r="L53" s="7">
        <f>4*0</f>
        <v>0</v>
      </c>
      <c r="M53" s="7">
        <v>0</v>
      </c>
      <c r="N53" s="32">
        <v>10</v>
      </c>
      <c r="O53" s="7">
        <v>0</v>
      </c>
      <c r="P53" s="7">
        <v>20</v>
      </c>
      <c r="Q53" s="7">
        <v>20</v>
      </c>
      <c r="R53" s="7">
        <v>20</v>
      </c>
      <c r="S53" s="7">
        <v>20</v>
      </c>
      <c r="T53" s="7"/>
      <c r="U53" s="7"/>
      <c r="V53" s="7"/>
      <c r="W53" s="7"/>
      <c r="X53" s="7"/>
      <c r="Y53" s="7"/>
      <c r="Z53" s="7"/>
      <c r="AB53" s="7"/>
      <c r="AC53" s="7"/>
      <c r="AD53" s="7"/>
      <c r="AE53" s="7"/>
    </row>
    <row r="54" spans="1:31" ht="15.75" customHeight="1" x14ac:dyDescent="0.35">
      <c r="A54" s="8">
        <v>49</v>
      </c>
      <c r="B54" s="9" t="s">
        <v>109</v>
      </c>
      <c r="C54" s="10">
        <f t="shared" si="0"/>
        <v>13.966666666666667</v>
      </c>
      <c r="D54" s="6">
        <v>3</v>
      </c>
      <c r="E54" s="6">
        <v>10</v>
      </c>
      <c r="F54" s="11">
        <f t="shared" si="1"/>
        <v>9.4866666666666664</v>
      </c>
      <c r="G54" s="10">
        <v>12</v>
      </c>
      <c r="H54" s="10">
        <f t="shared" si="2"/>
        <v>10.492000000000001</v>
      </c>
      <c r="I54" s="10" t="s">
        <v>15</v>
      </c>
      <c r="J54" s="6" t="str">
        <f t="shared" si="3"/>
        <v>APROVADO</v>
      </c>
      <c r="K54" s="7">
        <v>0</v>
      </c>
      <c r="L54" s="7">
        <f>4*2.3</f>
        <v>9.1999999999999993</v>
      </c>
      <c r="M54" s="7">
        <v>15</v>
      </c>
      <c r="N54" s="7">
        <v>15</v>
      </c>
      <c r="O54" s="7">
        <v>6.5</v>
      </c>
      <c r="P54" s="7">
        <v>20</v>
      </c>
      <c r="Q54" s="7">
        <v>20</v>
      </c>
      <c r="R54" s="7">
        <v>20</v>
      </c>
      <c r="S54" s="7">
        <v>20</v>
      </c>
      <c r="T54" s="7"/>
      <c r="U54" s="7"/>
      <c r="V54" s="7"/>
      <c r="W54" s="7"/>
      <c r="X54" s="7"/>
      <c r="Y54" s="7"/>
      <c r="Z54" s="7"/>
      <c r="AB54" s="7"/>
      <c r="AC54" s="7"/>
      <c r="AD54" s="7"/>
      <c r="AE54" s="7"/>
    </row>
    <row r="55" spans="1:31" ht="15.75" customHeight="1" x14ac:dyDescent="0.35">
      <c r="A55" s="8">
        <v>50</v>
      </c>
      <c r="B55" s="9" t="s">
        <v>110</v>
      </c>
      <c r="C55" s="10">
        <f t="shared" si="0"/>
        <v>13.255555555555555</v>
      </c>
      <c r="D55" s="6">
        <v>4</v>
      </c>
      <c r="E55" s="6">
        <v>7.5</v>
      </c>
      <c r="F55" s="11">
        <f t="shared" si="1"/>
        <v>8.7522222222222226</v>
      </c>
      <c r="G55" s="10">
        <v>8</v>
      </c>
      <c r="H55" s="10">
        <f t="shared" si="2"/>
        <v>8.4513333333333343</v>
      </c>
      <c r="I55" s="10">
        <v>10</v>
      </c>
      <c r="J55" s="6" t="str">
        <f t="shared" si="3"/>
        <v>APROVADO</v>
      </c>
      <c r="K55" s="7">
        <v>3</v>
      </c>
      <c r="L55" s="7">
        <f>4*0.2</f>
        <v>0.8</v>
      </c>
      <c r="M55" s="7">
        <v>15</v>
      </c>
      <c r="N55" s="7">
        <v>15</v>
      </c>
      <c r="O55" s="7">
        <v>5.5</v>
      </c>
      <c r="P55" s="7">
        <v>20</v>
      </c>
      <c r="Q55" s="7">
        <v>20</v>
      </c>
      <c r="R55" s="7">
        <v>20</v>
      </c>
      <c r="S55" s="7">
        <v>20</v>
      </c>
      <c r="T55" s="7"/>
      <c r="U55" s="7"/>
      <c r="V55" s="7"/>
      <c r="W55" s="7"/>
      <c r="X55" s="7"/>
      <c r="Y55" s="7"/>
      <c r="Z55" s="7"/>
      <c r="AB55" s="7"/>
      <c r="AC55" s="7"/>
      <c r="AD55" s="7"/>
      <c r="AE55" s="7"/>
    </row>
    <row r="56" spans="1:31" ht="15.75" customHeight="1" x14ac:dyDescent="0.35">
      <c r="A56" s="8">
        <v>51</v>
      </c>
      <c r="B56" s="9" t="s">
        <v>111</v>
      </c>
      <c r="C56" s="10">
        <f t="shared" si="0"/>
        <v>11.044444444444444</v>
      </c>
      <c r="D56" s="6">
        <v>8</v>
      </c>
      <c r="E56" s="6">
        <v>5</v>
      </c>
      <c r="F56" s="11">
        <f t="shared" si="1"/>
        <v>8.3177777777777777</v>
      </c>
      <c r="G56" s="10">
        <v>8</v>
      </c>
      <c r="H56" s="10">
        <f t="shared" si="2"/>
        <v>8.190666666666667</v>
      </c>
      <c r="I56" s="10">
        <v>8</v>
      </c>
      <c r="J56" s="6" t="str">
        <f t="shared" si="3"/>
        <v>APROVADO</v>
      </c>
      <c r="K56" s="7">
        <v>0</v>
      </c>
      <c r="L56" s="7">
        <f>4*0.1</f>
        <v>0.4</v>
      </c>
      <c r="M56" s="7">
        <v>15</v>
      </c>
      <c r="N56" s="7">
        <v>0</v>
      </c>
      <c r="O56" s="7">
        <v>4</v>
      </c>
      <c r="P56" s="7">
        <v>20</v>
      </c>
      <c r="Q56" s="7">
        <v>20</v>
      </c>
      <c r="R56" s="7">
        <v>20</v>
      </c>
      <c r="S56" s="7">
        <v>20</v>
      </c>
      <c r="T56" s="7"/>
      <c r="U56" s="7"/>
      <c r="V56" s="7"/>
      <c r="W56" s="7"/>
      <c r="X56" s="7"/>
      <c r="Y56" s="7"/>
      <c r="Z56" s="7"/>
      <c r="AB56" s="7"/>
      <c r="AC56" s="7"/>
      <c r="AD56" s="7"/>
      <c r="AE56" s="7"/>
    </row>
    <row r="57" spans="1:31" ht="15.75" customHeight="1" x14ac:dyDescent="0.35">
      <c r="A57" s="8">
        <v>52</v>
      </c>
      <c r="B57" s="9" t="s">
        <v>112</v>
      </c>
      <c r="C57" s="10">
        <f t="shared" si="0"/>
        <v>6.8571428571428568</v>
      </c>
      <c r="D57" s="6">
        <v>2</v>
      </c>
      <c r="E57" s="6">
        <v>2.5</v>
      </c>
      <c r="F57" s="11">
        <f t="shared" si="1"/>
        <v>4.0928571428571425</v>
      </c>
      <c r="G57" s="10" t="s">
        <v>15</v>
      </c>
      <c r="H57" s="10">
        <f t="shared" si="2"/>
        <v>2.4557142857142855</v>
      </c>
      <c r="I57" s="10" t="s">
        <v>15</v>
      </c>
      <c r="J57" s="6" t="str">
        <f t="shared" si="3"/>
        <v>REPROVADO</v>
      </c>
      <c r="K57" s="7">
        <v>1</v>
      </c>
      <c r="L57" s="7">
        <f>4*0.5</f>
        <v>2</v>
      </c>
      <c r="M57" s="7">
        <v>0</v>
      </c>
      <c r="N57" s="7">
        <v>0</v>
      </c>
      <c r="O57" s="7">
        <v>5</v>
      </c>
      <c r="P57" s="7">
        <v>20</v>
      </c>
      <c r="Q57" s="7">
        <v>20</v>
      </c>
      <c r="R57" s="7"/>
      <c r="S57" s="7"/>
      <c r="T57" s="7"/>
      <c r="U57" s="7"/>
      <c r="V57" s="7"/>
      <c r="W57" s="7"/>
      <c r="X57" s="7"/>
      <c r="Y57" s="7"/>
      <c r="Z57" s="7"/>
      <c r="AB57" s="7"/>
      <c r="AC57" s="7"/>
      <c r="AD57" s="7"/>
      <c r="AE57" s="7"/>
    </row>
    <row r="58" spans="1:31" ht="15.75" customHeight="1" x14ac:dyDescent="0.35">
      <c r="A58" s="8">
        <v>53</v>
      </c>
      <c r="B58" s="9" t="s">
        <v>113</v>
      </c>
      <c r="C58" s="10">
        <f t="shared" si="0"/>
        <v>13.511111111111111</v>
      </c>
      <c r="D58" s="6">
        <v>5</v>
      </c>
      <c r="E58" s="6">
        <v>10</v>
      </c>
      <c r="F58" s="11">
        <f t="shared" si="1"/>
        <v>9.9044444444444437</v>
      </c>
      <c r="G58" s="10">
        <v>8</v>
      </c>
      <c r="H58" s="10">
        <f t="shared" si="2"/>
        <v>9.1426666666666669</v>
      </c>
      <c r="I58" s="10">
        <v>10</v>
      </c>
      <c r="J58" s="6" t="str">
        <f t="shared" si="3"/>
        <v>APROVADO</v>
      </c>
      <c r="K58" s="7">
        <v>8</v>
      </c>
      <c r="L58" s="7">
        <f>4*1.9</f>
        <v>7.6</v>
      </c>
      <c r="M58" s="7">
        <v>15</v>
      </c>
      <c r="N58" s="7">
        <v>0</v>
      </c>
      <c r="O58" s="7">
        <v>11</v>
      </c>
      <c r="P58" s="7">
        <v>20</v>
      </c>
      <c r="Q58" s="7">
        <v>20</v>
      </c>
      <c r="R58" s="7">
        <v>20</v>
      </c>
      <c r="S58" s="7">
        <v>20</v>
      </c>
      <c r="T58" s="7"/>
      <c r="U58" s="7"/>
      <c r="V58" s="7"/>
      <c r="W58" s="7"/>
      <c r="X58" s="7"/>
      <c r="Y58" s="7"/>
      <c r="Z58" s="7"/>
      <c r="AB58" s="7"/>
      <c r="AC58" s="7"/>
      <c r="AD58" s="7"/>
      <c r="AE58" s="7"/>
    </row>
    <row r="59" spans="1:31" ht="15.75" customHeight="1" x14ac:dyDescent="0.35">
      <c r="A59" s="8">
        <v>54</v>
      </c>
      <c r="B59" s="9" t="s">
        <v>114</v>
      </c>
      <c r="C59" s="10">
        <f t="shared" si="0"/>
        <v>11</v>
      </c>
      <c r="D59" s="6">
        <v>2</v>
      </c>
      <c r="E59" s="6">
        <v>5</v>
      </c>
      <c r="F59" s="11">
        <f t="shared" si="1"/>
        <v>6.5</v>
      </c>
      <c r="G59" s="10">
        <v>8</v>
      </c>
      <c r="H59" s="10">
        <f t="shared" si="2"/>
        <v>7.1</v>
      </c>
      <c r="I59" s="10">
        <v>10</v>
      </c>
      <c r="J59" s="6" t="str">
        <f t="shared" si="3"/>
        <v>APROVADO</v>
      </c>
      <c r="K59" s="7">
        <v>0</v>
      </c>
      <c r="L59" s="7">
        <v>0</v>
      </c>
      <c r="M59" s="7">
        <v>0</v>
      </c>
      <c r="N59" s="7">
        <v>15</v>
      </c>
      <c r="O59" s="7">
        <v>4</v>
      </c>
      <c r="P59" s="7">
        <v>20</v>
      </c>
      <c r="Q59" s="7">
        <v>20</v>
      </c>
      <c r="R59" s="7">
        <v>20</v>
      </c>
      <c r="S59" s="7">
        <v>20</v>
      </c>
      <c r="T59" s="7"/>
      <c r="U59" s="7"/>
      <c r="V59" s="7"/>
      <c r="W59" s="7"/>
      <c r="X59" s="7"/>
      <c r="Y59" s="7"/>
      <c r="Z59" s="7"/>
      <c r="AB59" s="7"/>
      <c r="AC59" s="7"/>
      <c r="AD59" s="7"/>
      <c r="AE59" s="7"/>
    </row>
    <row r="60" spans="1:31" ht="15.75" customHeight="1" x14ac:dyDescent="0.35">
      <c r="A60" s="8">
        <v>55</v>
      </c>
      <c r="B60" s="9" t="s">
        <v>115</v>
      </c>
      <c r="C60" s="10">
        <f t="shared" si="0"/>
        <v>0</v>
      </c>
      <c r="D60" s="6" t="s">
        <v>15</v>
      </c>
      <c r="E60" s="6" t="s">
        <v>15</v>
      </c>
      <c r="F60" s="11">
        <f t="shared" si="1"/>
        <v>0</v>
      </c>
      <c r="G60" s="10" t="s">
        <v>15</v>
      </c>
      <c r="H60" s="10">
        <f t="shared" si="2"/>
        <v>0</v>
      </c>
      <c r="I60" s="10" t="s">
        <v>15</v>
      </c>
      <c r="J60" s="6" t="str">
        <f t="shared" si="3"/>
        <v>REPROVADO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B60" s="7"/>
      <c r="AC60" s="7"/>
      <c r="AD60" s="7"/>
      <c r="AE60" s="7"/>
    </row>
    <row r="61" spans="1:31" ht="15.75" customHeight="1" x14ac:dyDescent="0.35">
      <c r="A61" s="17"/>
      <c r="B61" s="18"/>
      <c r="C61" s="19"/>
      <c r="D61" s="20"/>
      <c r="E61" s="20"/>
      <c r="F61" s="22" t="s">
        <v>116</v>
      </c>
      <c r="G61" s="19">
        <f>COUNTIF(G6:G60,"F")</f>
        <v>8</v>
      </c>
      <c r="H61" s="19"/>
      <c r="I61" s="19" t="s">
        <v>117</v>
      </c>
      <c r="J61" s="20">
        <f>COUNTIF(J6:J60,"REPROVADO")</f>
        <v>15</v>
      </c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B61" s="23"/>
      <c r="AC61" s="23"/>
      <c r="AD61" s="23"/>
      <c r="AE61" s="23"/>
    </row>
    <row r="62" spans="1:31" ht="15.75" customHeight="1" x14ac:dyDescent="0.3">
      <c r="A62" s="24"/>
      <c r="B62" s="24"/>
      <c r="C62" s="25"/>
      <c r="D62" s="25"/>
      <c r="E62" s="25"/>
      <c r="F62" s="25" t="s">
        <v>118</v>
      </c>
      <c r="G62" s="25">
        <f>A60-G61</f>
        <v>47</v>
      </c>
      <c r="H62" s="25"/>
      <c r="I62" s="25" t="s">
        <v>55</v>
      </c>
      <c r="J62" s="33">
        <f>A60-J61-J63</f>
        <v>0</v>
      </c>
      <c r="K62" s="25"/>
      <c r="L62" s="25"/>
      <c r="M62" s="25"/>
      <c r="N62" s="25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B62" s="24"/>
      <c r="AC62" s="24"/>
      <c r="AD62" s="24"/>
      <c r="AE62" s="24"/>
    </row>
    <row r="63" spans="1:31" ht="15.75" customHeight="1" x14ac:dyDescent="0.3">
      <c r="A63" s="24"/>
      <c r="B63" s="24" t="s">
        <v>54</v>
      </c>
      <c r="C63" s="25"/>
      <c r="D63" s="25"/>
      <c r="E63" s="25"/>
      <c r="F63" s="25" t="s">
        <v>119</v>
      </c>
      <c r="G63" s="25">
        <f>COUNTIF(G6:G60,"&gt;=10")</f>
        <v>18</v>
      </c>
      <c r="H63" s="25"/>
      <c r="I63" s="25" t="s">
        <v>120</v>
      </c>
      <c r="J63" s="25">
        <f>COUNTIF(J6:J60,"APROVADO")</f>
        <v>40</v>
      </c>
      <c r="K63" s="25"/>
      <c r="L63" s="25"/>
      <c r="M63" s="25"/>
      <c r="N63" s="25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B63" s="24"/>
      <c r="AC63" s="24"/>
      <c r="AD63" s="24"/>
      <c r="AE63" s="24"/>
    </row>
    <row r="64" spans="1:31" ht="15.75" customHeight="1" x14ac:dyDescent="0.3">
      <c r="A64" s="24"/>
      <c r="B64" s="24"/>
      <c r="C64" s="25"/>
      <c r="D64" s="25"/>
      <c r="E64" s="25"/>
      <c r="F64" s="25" t="s">
        <v>121</v>
      </c>
      <c r="G64" s="25">
        <f>COUNTIF(G6:G60,"&lt;10")</f>
        <v>29</v>
      </c>
      <c r="H64" s="25"/>
      <c r="I64" s="25"/>
      <c r="J64" s="25"/>
      <c r="K64" s="25"/>
      <c r="L64" s="25"/>
      <c r="M64" s="25"/>
      <c r="N64" s="25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B64" s="24"/>
      <c r="AC64" s="24"/>
      <c r="AD64" s="24"/>
      <c r="AE64" s="24"/>
    </row>
    <row r="65" spans="1:31" ht="15.75" customHeight="1" x14ac:dyDescent="0.3">
      <c r="A65" s="24"/>
      <c r="B65" s="24" t="s">
        <v>57</v>
      </c>
      <c r="C65" s="25"/>
      <c r="D65" s="25"/>
      <c r="E65" s="25"/>
      <c r="F65" s="25" t="s">
        <v>122</v>
      </c>
      <c r="G65" s="25">
        <f>SUM(G61,G63,G64)</f>
        <v>55</v>
      </c>
      <c r="H65" s="25"/>
      <c r="I65" s="25"/>
      <c r="J65" s="25"/>
      <c r="K65" s="25"/>
      <c r="L65" s="25"/>
      <c r="M65" s="25"/>
      <c r="N65" s="25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B65" s="24"/>
      <c r="AC65" s="24"/>
      <c r="AD65" s="24"/>
      <c r="AE65" s="24"/>
    </row>
    <row r="66" spans="1:31" ht="15.75" customHeight="1" x14ac:dyDescent="0.3">
      <c r="A66" s="24"/>
      <c r="B66" s="24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B66" s="24"/>
      <c r="AC66" s="24"/>
      <c r="AD66" s="24"/>
      <c r="AE66" s="24"/>
    </row>
    <row r="67" spans="1:31" ht="15.75" customHeight="1" x14ac:dyDescent="0.3">
      <c r="A67" s="24"/>
      <c r="B67" s="26" t="s">
        <v>58</v>
      </c>
      <c r="C67" s="27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B67" s="24"/>
      <c r="AC67" s="24"/>
      <c r="AD67" s="24"/>
      <c r="AE67" s="24"/>
    </row>
    <row r="68" spans="1:31" ht="15.75" customHeight="1" x14ac:dyDescent="0.3">
      <c r="A68" s="24"/>
      <c r="B68" s="24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B68" s="24"/>
      <c r="AC68" s="24"/>
      <c r="AD68" s="24"/>
      <c r="AE68" s="24"/>
    </row>
    <row r="69" spans="1:31" ht="15.75" customHeight="1" x14ac:dyDescent="0.3">
      <c r="A69" s="24"/>
      <c r="B69" s="24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B69" s="24"/>
      <c r="AC69" s="24"/>
      <c r="AD69" s="24"/>
      <c r="AE69" s="24"/>
    </row>
    <row r="70" spans="1:31" ht="15.75" customHeight="1" x14ac:dyDescent="0.3">
      <c r="A70" s="24"/>
      <c r="B70" s="24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B70" s="24"/>
      <c r="AC70" s="24"/>
      <c r="AD70" s="24"/>
      <c r="AE70" s="24"/>
    </row>
    <row r="71" spans="1:31" ht="15.75" customHeight="1" x14ac:dyDescent="0.3">
      <c r="A71" s="24"/>
      <c r="B71" s="24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B71" s="24"/>
      <c r="AC71" s="24"/>
      <c r="AD71" s="24"/>
      <c r="AE71" s="24"/>
    </row>
    <row r="72" spans="1:31" ht="15.75" customHeight="1" x14ac:dyDescent="0.3">
      <c r="A72" s="24"/>
      <c r="B72" s="24"/>
      <c r="C72" s="25"/>
      <c r="D72" s="28"/>
      <c r="E72" s="24"/>
      <c r="F72" s="24"/>
      <c r="G72" s="24"/>
      <c r="H72" s="24"/>
      <c r="I72" s="24"/>
      <c r="J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B72" s="24"/>
      <c r="AC72" s="24"/>
      <c r="AD72" s="24"/>
      <c r="AE72" s="24"/>
    </row>
    <row r="73" spans="1:31" ht="15.75" customHeight="1" x14ac:dyDescent="0.3">
      <c r="A73" s="24"/>
      <c r="B73" s="24"/>
      <c r="C73" s="25"/>
      <c r="D73" s="24"/>
      <c r="E73" s="24"/>
      <c r="F73" s="24"/>
      <c r="G73" s="24"/>
      <c r="H73" s="24"/>
      <c r="I73" s="24"/>
      <c r="J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B73" s="24"/>
      <c r="AC73" s="24"/>
      <c r="AD73" s="24"/>
      <c r="AE73" s="24"/>
    </row>
    <row r="74" spans="1:31" ht="15.75" customHeight="1" x14ac:dyDescent="0.3">
      <c r="A74" s="24"/>
      <c r="B74" s="24"/>
      <c r="C74" s="25"/>
      <c r="D74" s="24"/>
      <c r="E74" s="24"/>
      <c r="F74" s="24"/>
      <c r="G74" s="24"/>
      <c r="H74" s="24"/>
      <c r="I74" s="24"/>
      <c r="J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B74" s="24"/>
      <c r="AC74" s="24"/>
      <c r="AD74" s="24"/>
      <c r="AE74" s="24"/>
    </row>
    <row r="75" spans="1:31" ht="15.75" customHeight="1" x14ac:dyDescent="0.3">
      <c r="A75" s="24"/>
      <c r="B75" s="24"/>
      <c r="C75" s="25"/>
      <c r="D75" s="24"/>
      <c r="E75" s="24"/>
      <c r="F75" s="24"/>
      <c r="G75" s="24"/>
      <c r="H75" s="24"/>
      <c r="I75" s="24"/>
      <c r="J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B75" s="24"/>
      <c r="AC75" s="24"/>
      <c r="AD75" s="24"/>
      <c r="AE75" s="24"/>
    </row>
    <row r="76" spans="1:31" ht="15.75" customHeight="1" x14ac:dyDescent="0.3">
      <c r="A76" s="24"/>
      <c r="B76" s="24"/>
      <c r="C76" s="25"/>
      <c r="D76" s="24"/>
      <c r="E76" s="24"/>
      <c r="F76" s="24"/>
      <c r="G76" s="24"/>
      <c r="H76" s="24"/>
      <c r="I76" s="24"/>
      <c r="J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B76" s="24"/>
      <c r="AC76" s="24"/>
      <c r="AD76" s="24"/>
      <c r="AE76" s="24"/>
    </row>
    <row r="77" spans="1:31" ht="15.75" customHeight="1" x14ac:dyDescent="0.3">
      <c r="A77" s="24"/>
      <c r="B77" s="24"/>
      <c r="C77" s="25"/>
      <c r="D77" s="24"/>
      <c r="E77" s="24"/>
      <c r="F77" s="24"/>
      <c r="G77" s="24"/>
      <c r="H77" s="24"/>
      <c r="I77" s="24"/>
      <c r="J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B77" s="24"/>
      <c r="AC77" s="24"/>
      <c r="AD77" s="24"/>
      <c r="AE77" s="24"/>
    </row>
    <row r="78" spans="1:31" ht="15.75" customHeight="1" x14ac:dyDescent="0.3">
      <c r="A78" s="24"/>
      <c r="B78" s="24"/>
      <c r="C78" s="25"/>
      <c r="D78" s="24"/>
      <c r="E78" s="24"/>
      <c r="F78" s="24"/>
      <c r="G78" s="24"/>
      <c r="H78" s="24"/>
      <c r="I78" s="24"/>
      <c r="J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B78" s="24"/>
      <c r="AC78" s="24"/>
      <c r="AD78" s="24"/>
      <c r="AE78" s="24"/>
    </row>
    <row r="79" spans="1:31" ht="15.75" customHeight="1" x14ac:dyDescent="0.3">
      <c r="A79" s="24"/>
      <c r="B79" s="24"/>
      <c r="C79" s="25"/>
      <c r="D79" s="24"/>
      <c r="E79" s="24"/>
      <c r="F79" s="24"/>
      <c r="G79" s="24"/>
      <c r="H79" s="24"/>
      <c r="I79" s="24"/>
      <c r="J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B79" s="24"/>
      <c r="AC79" s="24"/>
      <c r="AD79" s="24"/>
      <c r="AE79" s="24"/>
    </row>
    <row r="80" spans="1:31" ht="15.75" customHeight="1" x14ac:dyDescent="0.3">
      <c r="A80" s="24"/>
      <c r="B80" s="24"/>
      <c r="C80" s="25"/>
      <c r="D80" s="24"/>
      <c r="E80" s="24"/>
      <c r="F80" s="24"/>
      <c r="G80" s="24"/>
      <c r="H80" s="24"/>
      <c r="I80" s="24"/>
      <c r="J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B80" s="24"/>
      <c r="AC80" s="24"/>
      <c r="AD80" s="24"/>
      <c r="AE80" s="24"/>
    </row>
    <row r="81" spans="1:31" ht="15.75" customHeight="1" x14ac:dyDescent="0.3">
      <c r="A81" s="24"/>
      <c r="B81" s="24"/>
      <c r="C81" s="25"/>
      <c r="D81" s="24"/>
      <c r="E81" s="24"/>
      <c r="F81" s="24"/>
      <c r="G81" s="24"/>
      <c r="H81" s="24"/>
      <c r="I81" s="24"/>
      <c r="J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B81" s="24"/>
      <c r="AC81" s="24"/>
      <c r="AD81" s="24"/>
      <c r="AE81" s="24"/>
    </row>
    <row r="82" spans="1:31" ht="15.75" customHeight="1" x14ac:dyDescent="0.3">
      <c r="A82" s="24"/>
      <c r="B82" s="24"/>
      <c r="C82" s="25"/>
      <c r="D82" s="24"/>
      <c r="E82" s="24"/>
      <c r="F82" s="24"/>
      <c r="G82" s="24"/>
      <c r="H82" s="24"/>
      <c r="I82" s="24"/>
      <c r="J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B82" s="24"/>
      <c r="AC82" s="24"/>
      <c r="AD82" s="24"/>
      <c r="AE82" s="24"/>
    </row>
    <row r="83" spans="1:31" ht="15.75" customHeight="1" x14ac:dyDescent="0.3">
      <c r="A83" s="24"/>
      <c r="B83" s="24"/>
      <c r="C83" s="25"/>
      <c r="D83" s="24"/>
      <c r="E83" s="24"/>
      <c r="F83" s="24"/>
      <c r="G83" s="24"/>
      <c r="H83" s="24"/>
      <c r="I83" s="24"/>
      <c r="J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B83" s="24"/>
      <c r="AC83" s="24"/>
      <c r="AD83" s="24"/>
      <c r="AE83" s="24"/>
    </row>
    <row r="84" spans="1:31" ht="15.75" customHeight="1" x14ac:dyDescent="0.3">
      <c r="A84" s="24"/>
      <c r="B84" s="24"/>
      <c r="C84" s="25"/>
      <c r="D84" s="24"/>
      <c r="E84" s="24"/>
      <c r="F84" s="24"/>
      <c r="G84" s="24"/>
      <c r="H84" s="24"/>
      <c r="I84" s="24"/>
      <c r="J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B84" s="24"/>
      <c r="AC84" s="24"/>
      <c r="AD84" s="24"/>
      <c r="AE84" s="24"/>
    </row>
    <row r="85" spans="1:31" ht="15.75" customHeight="1" x14ac:dyDescent="0.3">
      <c r="A85" s="24"/>
      <c r="B85" s="24"/>
      <c r="C85" s="25"/>
      <c r="D85" s="24"/>
      <c r="E85" s="24"/>
      <c r="F85" s="24"/>
      <c r="G85" s="24"/>
      <c r="H85" s="24"/>
      <c r="I85" s="24"/>
      <c r="J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B85" s="24"/>
      <c r="AC85" s="24"/>
      <c r="AD85" s="24"/>
      <c r="AE85" s="24"/>
    </row>
    <row r="86" spans="1:31" ht="15.75" customHeight="1" x14ac:dyDescent="0.3">
      <c r="A86" s="24"/>
      <c r="B86" s="24"/>
      <c r="C86" s="25"/>
      <c r="D86" s="24"/>
      <c r="E86" s="24"/>
      <c r="F86" s="24"/>
      <c r="G86" s="24"/>
      <c r="H86" s="24"/>
      <c r="I86" s="24"/>
      <c r="J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B86" s="24"/>
      <c r="AC86" s="24"/>
      <c r="AD86" s="24"/>
      <c r="AE86" s="24"/>
    </row>
    <row r="87" spans="1:31" ht="15.75" customHeight="1" x14ac:dyDescent="0.3">
      <c r="A87" s="24"/>
      <c r="B87" s="24"/>
      <c r="C87" s="25"/>
      <c r="D87" s="24"/>
      <c r="E87" s="24"/>
      <c r="F87" s="24"/>
      <c r="G87" s="24"/>
      <c r="H87" s="24"/>
      <c r="I87" s="24"/>
      <c r="J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B87" s="24"/>
      <c r="AC87" s="24"/>
      <c r="AD87" s="24"/>
      <c r="AE87" s="24"/>
    </row>
    <row r="88" spans="1:31" ht="15.75" customHeight="1" x14ac:dyDescent="0.3">
      <c r="A88" s="24"/>
      <c r="B88" s="24"/>
      <c r="C88" s="25"/>
      <c r="D88" s="24"/>
      <c r="E88" s="24"/>
      <c r="F88" s="24"/>
      <c r="G88" s="24"/>
      <c r="H88" s="24"/>
      <c r="I88" s="24"/>
      <c r="J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B88" s="24"/>
      <c r="AC88" s="24"/>
      <c r="AD88" s="24"/>
      <c r="AE88" s="24"/>
    </row>
    <row r="89" spans="1:31" ht="15.75" customHeight="1" x14ac:dyDescent="0.3">
      <c r="A89" s="24"/>
      <c r="B89" s="24"/>
      <c r="C89" s="25"/>
      <c r="D89" s="28"/>
      <c r="E89" s="24"/>
      <c r="F89" s="24"/>
      <c r="G89" s="24"/>
      <c r="H89" s="24"/>
      <c r="I89" s="24"/>
      <c r="J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B89" s="24"/>
      <c r="AC89" s="24"/>
      <c r="AD89" s="24"/>
      <c r="AE89" s="24"/>
    </row>
    <row r="90" spans="1:31" ht="15.75" customHeight="1" x14ac:dyDescent="0.3">
      <c r="A90" s="24"/>
      <c r="B90" s="24"/>
      <c r="C90" s="25"/>
      <c r="D90" s="25"/>
      <c r="E90" s="24"/>
      <c r="F90" s="24"/>
      <c r="G90" s="24"/>
      <c r="H90" s="24"/>
      <c r="I90" s="24"/>
      <c r="J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B90" s="24"/>
      <c r="AC90" s="24"/>
      <c r="AD90" s="24"/>
      <c r="AE90" s="24"/>
    </row>
    <row r="91" spans="1:31" ht="15.75" customHeight="1" x14ac:dyDescent="0.3">
      <c r="A91" s="24"/>
      <c r="B91" s="24"/>
      <c r="C91" s="25"/>
      <c r="D91" s="24"/>
      <c r="E91" s="24"/>
      <c r="F91" s="24"/>
      <c r="G91" s="24"/>
      <c r="H91" s="24"/>
      <c r="I91" s="24"/>
      <c r="J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B91" s="24"/>
      <c r="AC91" s="24"/>
      <c r="AD91" s="24"/>
      <c r="AE91" s="24"/>
    </row>
    <row r="92" spans="1:31" ht="15.75" customHeight="1" x14ac:dyDescent="0.3">
      <c r="A92" s="24"/>
      <c r="B92" s="24"/>
      <c r="C92" s="25"/>
      <c r="D92" s="24"/>
      <c r="E92" s="24"/>
      <c r="F92" s="24"/>
      <c r="G92" s="24"/>
      <c r="H92" s="24"/>
      <c r="I92" s="24"/>
      <c r="J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B92" s="24"/>
      <c r="AC92" s="24"/>
      <c r="AD92" s="24"/>
      <c r="AE92" s="24"/>
    </row>
    <row r="93" spans="1:31" ht="15.75" customHeight="1" x14ac:dyDescent="0.3">
      <c r="A93" s="24"/>
      <c r="B93" s="24"/>
      <c r="C93" s="25"/>
      <c r="D93" s="28"/>
      <c r="E93" s="24"/>
      <c r="F93" s="24"/>
      <c r="G93" s="24"/>
      <c r="H93" s="24"/>
      <c r="I93" s="24"/>
      <c r="J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B93" s="24"/>
      <c r="AC93" s="24"/>
      <c r="AD93" s="24"/>
      <c r="AE93" s="24"/>
    </row>
    <row r="94" spans="1:31" ht="15.75" customHeight="1" x14ac:dyDescent="0.3"/>
    <row r="95" spans="1:31" ht="15.75" customHeight="1" x14ac:dyDescent="0.3"/>
    <row r="96" spans="1:3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</sheetData>
  <mergeCells count="4">
    <mergeCell ref="A1:J2"/>
    <mergeCell ref="A3:J4"/>
    <mergeCell ref="K3:Z4"/>
    <mergeCell ref="AB3:AE4"/>
  </mergeCells>
  <conditionalFormatting sqref="C6:J61">
    <cfRule type="cellIs" dxfId="28" priority="7" operator="lessThan">
      <formula>9.5</formula>
    </cfRule>
  </conditionalFormatting>
  <conditionalFormatting sqref="H6:J61">
    <cfRule type="cellIs" dxfId="27" priority="2" operator="lessThan">
      <formula>9.45</formula>
    </cfRule>
  </conditionalFormatting>
  <conditionalFormatting sqref="J6:J61">
    <cfRule type="containsText" dxfId="26" priority="3" operator="containsText" text="Recurso">
      <formula>NOT(ISERROR(SEARCH(("Recurso"),(J6))))</formula>
    </cfRule>
    <cfRule type="containsText" dxfId="25" priority="4" operator="containsText" text="APROVADO">
      <formula>NOT(ISERROR(SEARCH(("APROVADO"),(J6))))</formula>
    </cfRule>
    <cfRule type="containsText" dxfId="24" priority="5" operator="containsText" text="Dispensado">
      <formula>NOT(ISERROR(SEARCH(("Dispensado"),(J6))))</formula>
    </cfRule>
    <cfRule type="containsText" dxfId="23" priority="6" operator="containsText" text="REPROVADO">
      <formula>NOT(ISERROR(SEARCH(("REPROVADO"),(J6))))</formula>
    </cfRule>
  </conditionalFormatting>
  <conditionalFormatting sqref="K6:Z60">
    <cfRule type="cellIs" dxfId="22" priority="1" operator="lessThan">
      <formula>10</formula>
    </cfRule>
  </conditionalFormatting>
  <pageMargins left="0.7" right="0.7" top="0.75" bottom="0.75" header="0" footer="0"/>
  <pageSetup paperSize="9" scale="62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E84"/>
  <sheetViews>
    <sheetView workbookViewId="0">
      <selection sqref="A1:J2"/>
    </sheetView>
  </sheetViews>
  <sheetFormatPr defaultColWidth="11.19921875" defaultRowHeight="15" customHeight="1" x14ac:dyDescent="0.3"/>
  <cols>
    <col min="1" max="1" width="4.09765625" customWidth="1"/>
    <col min="2" max="2" width="41" customWidth="1"/>
    <col min="3" max="3" width="8" customWidth="1"/>
    <col min="4" max="4" width="5.8984375" customWidth="1"/>
    <col min="5" max="5" width="8.59765625" customWidth="1"/>
    <col min="6" max="7" width="7.59765625" customWidth="1"/>
    <col min="8" max="9" width="8.796875" customWidth="1"/>
    <col min="10" max="10" width="15.59765625" customWidth="1"/>
    <col min="11" max="12" width="4" customWidth="1"/>
    <col min="13" max="13" width="5.796875" customWidth="1"/>
    <col min="14" max="14" width="5.8984375" customWidth="1"/>
    <col min="15" max="15" width="6.09765625" customWidth="1"/>
    <col min="16" max="16" width="4.59765625" customWidth="1"/>
    <col min="17" max="17" width="4.09765625" customWidth="1"/>
    <col min="18" max="18" width="4" customWidth="1"/>
    <col min="19" max="19" width="3.69921875" customWidth="1"/>
    <col min="20" max="20" width="3.8984375" customWidth="1"/>
    <col min="21" max="21" width="3.69921875" customWidth="1"/>
    <col min="22" max="22" width="3.8984375" customWidth="1"/>
    <col min="23" max="23" width="3.69921875" customWidth="1"/>
    <col min="24" max="24" width="4.09765625" customWidth="1"/>
    <col min="25" max="25" width="3.59765625" customWidth="1"/>
    <col min="26" max="27" width="3.69921875" customWidth="1"/>
    <col min="28" max="28" width="3.296875" customWidth="1"/>
    <col min="29" max="29" width="3" customWidth="1"/>
    <col min="30" max="30" width="3.69921875" customWidth="1"/>
    <col min="31" max="31" width="3.59765625" customWidth="1"/>
  </cols>
  <sheetData>
    <row r="1" spans="1:31" ht="36.6" x14ac:dyDescent="0.3">
      <c r="A1" s="50" t="s">
        <v>128</v>
      </c>
      <c r="B1" s="51"/>
      <c r="C1" s="51"/>
      <c r="D1" s="51"/>
      <c r="E1" s="51"/>
      <c r="F1" s="51"/>
      <c r="G1" s="51"/>
      <c r="H1" s="51"/>
      <c r="I1" s="51"/>
      <c r="J1" s="5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6.6" x14ac:dyDescent="0.3">
      <c r="A2" s="52"/>
      <c r="B2" s="53"/>
      <c r="C2" s="53"/>
      <c r="D2" s="53"/>
      <c r="E2" s="53"/>
      <c r="F2" s="53"/>
      <c r="G2" s="53"/>
      <c r="H2" s="53"/>
      <c r="I2" s="53"/>
      <c r="J2" s="5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5.6" x14ac:dyDescent="0.3">
      <c r="A3" s="54" t="s">
        <v>129</v>
      </c>
      <c r="B3" s="51"/>
      <c r="C3" s="51"/>
      <c r="D3" s="51"/>
      <c r="E3" s="51"/>
      <c r="F3" s="51"/>
      <c r="G3" s="51"/>
      <c r="H3" s="51"/>
      <c r="I3" s="51"/>
      <c r="J3" s="51"/>
      <c r="K3" s="55" t="s">
        <v>2</v>
      </c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7"/>
      <c r="AB3" s="61" t="s">
        <v>3</v>
      </c>
      <c r="AC3" s="56"/>
      <c r="AD3" s="56"/>
      <c r="AE3" s="57"/>
    </row>
    <row r="4" spans="1:31" ht="15.6" x14ac:dyDescent="0.3">
      <c r="A4" s="52"/>
      <c r="B4" s="53"/>
      <c r="C4" s="53"/>
      <c r="D4" s="53"/>
      <c r="E4" s="53"/>
      <c r="F4" s="53"/>
      <c r="G4" s="53"/>
      <c r="H4" s="53"/>
      <c r="I4" s="53"/>
      <c r="J4" s="53"/>
      <c r="K4" s="58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60"/>
      <c r="AB4" s="58"/>
      <c r="AC4" s="59"/>
      <c r="AD4" s="59"/>
      <c r="AE4" s="60"/>
    </row>
    <row r="5" spans="1:31" ht="18" x14ac:dyDescent="0.3">
      <c r="A5" s="3" t="s">
        <v>4</v>
      </c>
      <c r="B5" s="4" t="s">
        <v>5</v>
      </c>
      <c r="C5" s="5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7">
        <v>1</v>
      </c>
      <c r="L5" s="7">
        <v>2</v>
      </c>
      <c r="M5" s="7">
        <v>3</v>
      </c>
      <c r="N5" s="7">
        <v>4</v>
      </c>
      <c r="O5" s="7">
        <v>5</v>
      </c>
      <c r="P5" s="7">
        <v>6</v>
      </c>
      <c r="Q5" s="7">
        <v>7</v>
      </c>
      <c r="R5" s="7">
        <v>8</v>
      </c>
      <c r="S5" s="7">
        <v>9</v>
      </c>
      <c r="T5" s="7">
        <v>10</v>
      </c>
      <c r="U5" s="7">
        <v>11</v>
      </c>
      <c r="V5" s="7">
        <v>12</v>
      </c>
      <c r="W5" s="7">
        <v>13</v>
      </c>
      <c r="X5" s="7">
        <v>14</v>
      </c>
      <c r="Y5" s="7">
        <v>15</v>
      </c>
      <c r="Z5" s="7">
        <v>16</v>
      </c>
      <c r="AB5" s="7">
        <v>1</v>
      </c>
      <c r="AC5" s="7">
        <v>2</v>
      </c>
      <c r="AD5" s="7">
        <v>3</v>
      </c>
      <c r="AE5" s="7">
        <v>4</v>
      </c>
    </row>
    <row r="6" spans="1:31" ht="19.2" x14ac:dyDescent="0.35">
      <c r="A6" s="8">
        <v>1</v>
      </c>
      <c r="B6" s="9" t="s">
        <v>130</v>
      </c>
      <c r="C6" s="10">
        <f t="shared" ref="C6:C75" si="0">SUM(K6:Z6)/COUNT(K6:Z6)</f>
        <v>8.8888888888888893</v>
      </c>
      <c r="D6" s="6">
        <v>7</v>
      </c>
      <c r="E6" s="6">
        <v>12.5</v>
      </c>
      <c r="F6" s="11">
        <f t="shared" ref="F6:F75" si="1">IF(OR(AND(D6="P",E6="P"),AND(D6="p",E6="p")),0,0.4*C6+0.6*AVERAGE(IF(D6="F",0,D6),IF(E6="F",0,E6)))</f>
        <v>9.405555555555555</v>
      </c>
      <c r="G6" s="10">
        <v>4</v>
      </c>
      <c r="H6" s="10">
        <f t="shared" ref="H6:H75" si="2">IF(OR(AND(D6="P",E6="P"),AND(D6="p",E6="p")),IF(G6="F",0,G6),IF(G6="","",IF(G6="F",IF(F6&gt;12.45,F6,F6*0.6),F6*0.6+G6*0.4)))</f>
        <v>7.2433333333333323</v>
      </c>
      <c r="I6" s="10">
        <v>10</v>
      </c>
      <c r="J6" s="6" t="str">
        <f t="shared" ref="J6:J75" si="3">IF(OR(F6&gt;=6.5,OR(AND(D6="P",E6="P"),AND(D6="p",E6="p"))),IF(AND(F6&gt;=13.5,D6&gt;=10,E6&gt;=10),"Dispensado",IF(H6="","EXAME",IF(H6&gt;9.44,"APROVADO",IF(I6="","Recurso",IF(OR(I6=9,I6=10,I6=8),"APROVADO","REPROVADO"))))),"REPROVADO")</f>
        <v>APROVADO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20</v>
      </c>
      <c r="Q6" s="7">
        <v>20</v>
      </c>
      <c r="R6" s="7">
        <v>20</v>
      </c>
      <c r="S6" s="7">
        <v>20</v>
      </c>
      <c r="T6" s="7"/>
      <c r="U6" s="7"/>
      <c r="V6" s="7"/>
      <c r="W6" s="7"/>
      <c r="X6" s="7"/>
      <c r="Y6" s="7"/>
      <c r="Z6" s="7"/>
      <c r="AB6" s="7">
        <v>0</v>
      </c>
      <c r="AC6" s="7"/>
      <c r="AD6" s="7"/>
      <c r="AE6" s="7"/>
    </row>
    <row r="7" spans="1:31" ht="19.2" x14ac:dyDescent="0.35">
      <c r="A7" s="8">
        <v>2</v>
      </c>
      <c r="B7" s="9" t="s">
        <v>131</v>
      </c>
      <c r="C7" s="10">
        <f t="shared" si="0"/>
        <v>12.2</v>
      </c>
      <c r="D7" s="6">
        <v>2</v>
      </c>
      <c r="E7" s="6">
        <v>12.5</v>
      </c>
      <c r="F7" s="11">
        <f t="shared" si="1"/>
        <v>9.23</v>
      </c>
      <c r="G7" s="12">
        <v>10</v>
      </c>
      <c r="H7" s="10">
        <f t="shared" si="2"/>
        <v>9.5380000000000003</v>
      </c>
      <c r="I7" s="10" t="s">
        <v>15</v>
      </c>
      <c r="J7" s="6" t="str">
        <f t="shared" si="3"/>
        <v>APROVADO</v>
      </c>
      <c r="K7" s="7">
        <v>0</v>
      </c>
      <c r="L7" s="7">
        <f>4*0.2</f>
        <v>0.8</v>
      </c>
      <c r="M7" s="7">
        <v>15</v>
      </c>
      <c r="N7" s="7">
        <v>0</v>
      </c>
      <c r="O7" s="7">
        <v>14</v>
      </c>
      <c r="P7" s="7">
        <v>20</v>
      </c>
      <c r="Q7" s="7">
        <v>20</v>
      </c>
      <c r="R7" s="7">
        <v>20</v>
      </c>
      <c r="S7" s="7">
        <v>20</v>
      </c>
      <c r="T7" s="7"/>
      <c r="U7" s="7"/>
      <c r="V7" s="7"/>
      <c r="W7" s="7"/>
      <c r="X7" s="7"/>
      <c r="Y7" s="7"/>
      <c r="Z7" s="7"/>
      <c r="AB7" s="7">
        <v>0</v>
      </c>
      <c r="AC7" s="7"/>
      <c r="AD7" s="7"/>
      <c r="AE7" s="7"/>
    </row>
    <row r="8" spans="1:31" ht="19.2" x14ac:dyDescent="0.35">
      <c r="A8" s="8">
        <v>3</v>
      </c>
      <c r="B8" s="9" t="s">
        <v>132</v>
      </c>
      <c r="C8" s="10">
        <f t="shared" si="0"/>
        <v>6.166666666666667</v>
      </c>
      <c r="D8" s="6">
        <v>2</v>
      </c>
      <c r="E8" s="6">
        <v>5</v>
      </c>
      <c r="F8" s="11">
        <f t="shared" si="1"/>
        <v>4.5666666666666664</v>
      </c>
      <c r="G8" s="10" t="s">
        <v>15</v>
      </c>
      <c r="H8" s="10">
        <f t="shared" si="2"/>
        <v>2.7399999999999998</v>
      </c>
      <c r="I8" s="10" t="s">
        <v>15</v>
      </c>
      <c r="J8" s="6" t="str">
        <f t="shared" si="3"/>
        <v>REPROVADO</v>
      </c>
      <c r="K8" s="7">
        <v>2</v>
      </c>
      <c r="L8" s="7">
        <v>0</v>
      </c>
      <c r="M8" s="7">
        <v>15</v>
      </c>
      <c r="N8" s="7">
        <v>0</v>
      </c>
      <c r="O8" s="7">
        <v>0</v>
      </c>
      <c r="P8" s="7">
        <v>20</v>
      </c>
      <c r="Q8" s="7"/>
      <c r="R8" s="7"/>
      <c r="S8" s="7"/>
      <c r="T8" s="7"/>
      <c r="U8" s="7"/>
      <c r="V8" s="7"/>
      <c r="W8" s="7"/>
      <c r="X8" s="7"/>
      <c r="Y8" s="7"/>
      <c r="Z8" s="7"/>
      <c r="AB8" s="7">
        <v>0</v>
      </c>
      <c r="AC8" s="7"/>
      <c r="AD8" s="7"/>
      <c r="AE8" s="7"/>
    </row>
    <row r="9" spans="1:31" ht="19.2" x14ac:dyDescent="0.35">
      <c r="A9" s="8">
        <v>4</v>
      </c>
      <c r="B9" s="9" t="s">
        <v>133</v>
      </c>
      <c r="C9" s="10">
        <f t="shared" si="0"/>
        <v>10</v>
      </c>
      <c r="D9" s="6">
        <v>4</v>
      </c>
      <c r="E9" s="6">
        <v>5</v>
      </c>
      <c r="F9" s="11">
        <f t="shared" si="1"/>
        <v>6.6999999999999993</v>
      </c>
      <c r="G9" s="10">
        <v>4</v>
      </c>
      <c r="H9" s="10">
        <f t="shared" si="2"/>
        <v>5.6199999999999992</v>
      </c>
      <c r="I9" s="10">
        <v>10</v>
      </c>
      <c r="J9" s="6" t="str">
        <f t="shared" si="3"/>
        <v>APROVADO</v>
      </c>
      <c r="K9" s="7">
        <v>6</v>
      </c>
      <c r="L9" s="7">
        <v>0</v>
      </c>
      <c r="M9" s="7">
        <v>0</v>
      </c>
      <c r="N9" s="7">
        <v>4</v>
      </c>
      <c r="O9" s="7">
        <v>0</v>
      </c>
      <c r="P9" s="7">
        <v>20</v>
      </c>
      <c r="Q9" s="7">
        <v>20</v>
      </c>
      <c r="R9" s="7">
        <v>20</v>
      </c>
      <c r="S9" s="7">
        <v>20</v>
      </c>
      <c r="T9" s="7"/>
      <c r="U9" s="7"/>
      <c r="V9" s="7"/>
      <c r="W9" s="7"/>
      <c r="X9" s="7"/>
      <c r="Y9" s="7"/>
      <c r="Z9" s="7"/>
      <c r="AB9" s="7">
        <v>0</v>
      </c>
      <c r="AC9" s="7"/>
      <c r="AD9" s="7"/>
      <c r="AE9" s="7"/>
    </row>
    <row r="10" spans="1:31" ht="19.2" x14ac:dyDescent="0.35">
      <c r="A10" s="8">
        <v>5</v>
      </c>
      <c r="B10" s="9" t="s">
        <v>134</v>
      </c>
      <c r="C10" s="10">
        <f t="shared" si="0"/>
        <v>14.611111111111111</v>
      </c>
      <c r="D10" s="6">
        <v>7</v>
      </c>
      <c r="E10" s="6">
        <v>5</v>
      </c>
      <c r="F10" s="11">
        <f t="shared" si="1"/>
        <v>9.4444444444444446</v>
      </c>
      <c r="G10" s="10">
        <v>8</v>
      </c>
      <c r="H10" s="10">
        <f t="shared" si="2"/>
        <v>8.8666666666666671</v>
      </c>
      <c r="I10" s="10">
        <v>10</v>
      </c>
      <c r="J10" s="6" t="str">
        <f t="shared" si="3"/>
        <v>APROVADO</v>
      </c>
      <c r="K10" s="7">
        <v>15</v>
      </c>
      <c r="L10" s="7">
        <f>4*0.25</f>
        <v>1</v>
      </c>
      <c r="M10" s="7">
        <v>15</v>
      </c>
      <c r="N10" s="7">
        <v>6.5</v>
      </c>
      <c r="O10" s="7">
        <v>14</v>
      </c>
      <c r="P10" s="7">
        <v>20</v>
      </c>
      <c r="Q10" s="7">
        <v>20</v>
      </c>
      <c r="R10" s="7">
        <v>20</v>
      </c>
      <c r="S10" s="7">
        <v>20</v>
      </c>
      <c r="T10" s="7"/>
      <c r="U10" s="7"/>
      <c r="V10" s="7"/>
      <c r="W10" s="7"/>
      <c r="X10" s="7"/>
      <c r="Y10" s="7"/>
      <c r="Z10" s="7"/>
      <c r="AB10" s="7">
        <v>0</v>
      </c>
      <c r="AC10" s="7"/>
      <c r="AD10" s="7"/>
      <c r="AE10" s="7"/>
    </row>
    <row r="11" spans="1:31" ht="19.2" x14ac:dyDescent="0.35">
      <c r="A11" s="8">
        <v>6</v>
      </c>
      <c r="B11" s="9" t="s">
        <v>135</v>
      </c>
      <c r="C11" s="10">
        <f t="shared" si="0"/>
        <v>14.888888888888889</v>
      </c>
      <c r="D11" s="6">
        <v>11</v>
      </c>
      <c r="E11" s="6">
        <v>7.5</v>
      </c>
      <c r="F11" s="11">
        <f t="shared" si="1"/>
        <v>11.505555555555556</v>
      </c>
      <c r="G11" s="10">
        <v>10</v>
      </c>
      <c r="H11" s="10">
        <f t="shared" si="2"/>
        <v>10.903333333333332</v>
      </c>
      <c r="I11" s="10" t="s">
        <v>15</v>
      </c>
      <c r="J11" s="6" t="str">
        <f t="shared" si="3"/>
        <v>APROVADO</v>
      </c>
      <c r="K11" s="7">
        <v>6</v>
      </c>
      <c r="L11" s="7">
        <v>8</v>
      </c>
      <c r="M11" s="7">
        <v>15</v>
      </c>
      <c r="N11" s="7">
        <v>11</v>
      </c>
      <c r="O11" s="7">
        <v>14</v>
      </c>
      <c r="P11" s="7">
        <v>20</v>
      </c>
      <c r="Q11" s="7">
        <v>20</v>
      </c>
      <c r="R11" s="7">
        <v>20</v>
      </c>
      <c r="S11" s="7">
        <v>20</v>
      </c>
      <c r="T11" s="7"/>
      <c r="U11" s="7"/>
      <c r="V11" s="7"/>
      <c r="W11" s="7"/>
      <c r="X11" s="7"/>
      <c r="Y11" s="7"/>
      <c r="Z11" s="7"/>
      <c r="AB11" s="7">
        <v>0</v>
      </c>
      <c r="AC11" s="7"/>
      <c r="AD11" s="7"/>
      <c r="AE11" s="7"/>
    </row>
    <row r="12" spans="1:31" ht="19.2" x14ac:dyDescent="0.35">
      <c r="A12" s="8">
        <v>7</v>
      </c>
      <c r="B12" s="9" t="s">
        <v>136</v>
      </c>
      <c r="C12" s="10">
        <f t="shared" si="0"/>
        <v>8.8888888888888893</v>
      </c>
      <c r="D12" s="6">
        <v>6</v>
      </c>
      <c r="E12" s="6">
        <v>7.5</v>
      </c>
      <c r="F12" s="11">
        <f t="shared" si="1"/>
        <v>7.6055555555555561</v>
      </c>
      <c r="G12" s="10">
        <v>6</v>
      </c>
      <c r="H12" s="10">
        <f t="shared" si="2"/>
        <v>6.9633333333333338</v>
      </c>
      <c r="I12" s="10">
        <v>6</v>
      </c>
      <c r="J12" s="6" t="str">
        <f t="shared" si="3"/>
        <v>REPROVADO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20</v>
      </c>
      <c r="Q12" s="7">
        <v>20</v>
      </c>
      <c r="R12" s="7">
        <v>20</v>
      </c>
      <c r="S12" s="7">
        <v>20</v>
      </c>
      <c r="T12" s="7"/>
      <c r="U12" s="7"/>
      <c r="V12" s="7"/>
      <c r="W12" s="7"/>
      <c r="X12" s="7"/>
      <c r="Y12" s="7"/>
      <c r="Z12" s="7"/>
      <c r="AB12" s="7">
        <v>0</v>
      </c>
      <c r="AC12" s="7"/>
      <c r="AD12" s="7"/>
      <c r="AE12" s="7"/>
    </row>
    <row r="13" spans="1:31" ht="19.2" x14ac:dyDescent="0.35">
      <c r="A13" s="8">
        <v>8</v>
      </c>
      <c r="B13" s="9" t="s">
        <v>137</v>
      </c>
      <c r="C13" s="10">
        <f t="shared" si="0"/>
        <v>12.555555555555555</v>
      </c>
      <c r="D13" s="6">
        <v>9</v>
      </c>
      <c r="E13" s="6">
        <v>7.5</v>
      </c>
      <c r="F13" s="11">
        <f t="shared" si="1"/>
        <v>9.9722222222222214</v>
      </c>
      <c r="G13" s="10">
        <v>10</v>
      </c>
      <c r="H13" s="10">
        <f t="shared" si="2"/>
        <v>9.9833333333333325</v>
      </c>
      <c r="I13" s="10" t="s">
        <v>15</v>
      </c>
      <c r="J13" s="6" t="str">
        <f t="shared" si="3"/>
        <v>APROVADO</v>
      </c>
      <c r="K13" s="7">
        <v>2</v>
      </c>
      <c r="L13" s="7">
        <v>0</v>
      </c>
      <c r="M13" s="7">
        <v>15</v>
      </c>
      <c r="N13" s="7">
        <v>16</v>
      </c>
      <c r="O13" s="7">
        <v>0</v>
      </c>
      <c r="P13" s="7">
        <v>20</v>
      </c>
      <c r="Q13" s="7">
        <v>20</v>
      </c>
      <c r="R13" s="7">
        <v>20</v>
      </c>
      <c r="S13" s="7">
        <v>20</v>
      </c>
      <c r="T13" s="7"/>
      <c r="U13" s="7"/>
      <c r="V13" s="7"/>
      <c r="W13" s="7"/>
      <c r="X13" s="7"/>
      <c r="Y13" s="7"/>
      <c r="Z13" s="7"/>
      <c r="AB13" s="7">
        <v>0</v>
      </c>
      <c r="AC13" s="7"/>
      <c r="AD13" s="7"/>
      <c r="AE13" s="7"/>
    </row>
    <row r="14" spans="1:31" ht="19.2" x14ac:dyDescent="0.35">
      <c r="A14" s="8">
        <v>9</v>
      </c>
      <c r="B14" s="9" t="s">
        <v>123</v>
      </c>
      <c r="C14" s="10">
        <f t="shared" si="0"/>
        <v>12.777777777777779</v>
      </c>
      <c r="D14" s="6">
        <v>3</v>
      </c>
      <c r="E14" s="6">
        <v>5</v>
      </c>
      <c r="F14" s="11">
        <f t="shared" si="1"/>
        <v>7.5111111111111111</v>
      </c>
      <c r="G14" s="10">
        <v>2</v>
      </c>
      <c r="H14" s="10">
        <f t="shared" si="2"/>
        <v>5.3066666666666666</v>
      </c>
      <c r="I14" s="10">
        <v>3</v>
      </c>
      <c r="J14" s="6" t="str">
        <f t="shared" si="3"/>
        <v>REPROVADO</v>
      </c>
      <c r="K14" s="7">
        <v>0</v>
      </c>
      <c r="L14" s="7">
        <f>4*1.5</f>
        <v>6</v>
      </c>
      <c r="M14" s="7">
        <v>15</v>
      </c>
      <c r="N14" s="7">
        <v>0</v>
      </c>
      <c r="O14" s="7">
        <v>14</v>
      </c>
      <c r="P14" s="7">
        <v>20</v>
      </c>
      <c r="Q14" s="7">
        <v>20</v>
      </c>
      <c r="R14" s="7">
        <v>20</v>
      </c>
      <c r="S14" s="7">
        <v>20</v>
      </c>
      <c r="T14" s="7"/>
      <c r="U14" s="7"/>
      <c r="V14" s="7"/>
      <c r="W14" s="7"/>
      <c r="X14" s="7"/>
      <c r="Y14" s="7"/>
      <c r="Z14" s="7"/>
      <c r="AB14" s="7">
        <v>0</v>
      </c>
      <c r="AC14" s="7"/>
      <c r="AD14" s="7"/>
      <c r="AE14" s="7"/>
    </row>
    <row r="15" spans="1:31" ht="19.2" x14ac:dyDescent="0.35">
      <c r="A15" s="8">
        <v>10</v>
      </c>
      <c r="B15" s="9" t="s">
        <v>138</v>
      </c>
      <c r="C15" s="10">
        <f t="shared" si="0"/>
        <v>13.333333333333334</v>
      </c>
      <c r="D15" s="6">
        <v>2</v>
      </c>
      <c r="E15" s="6">
        <v>5</v>
      </c>
      <c r="F15" s="11">
        <f t="shared" si="1"/>
        <v>7.4333333333333336</v>
      </c>
      <c r="G15" s="10">
        <v>6</v>
      </c>
      <c r="H15" s="10">
        <f t="shared" si="2"/>
        <v>6.86</v>
      </c>
      <c r="I15" s="10" t="s">
        <v>15</v>
      </c>
      <c r="J15" s="6" t="str">
        <f t="shared" si="3"/>
        <v>REPROVADO</v>
      </c>
      <c r="K15" s="7">
        <v>0</v>
      </c>
      <c r="L15" s="7">
        <f>4*1.75</f>
        <v>7</v>
      </c>
      <c r="M15" s="7">
        <v>15</v>
      </c>
      <c r="N15" s="7">
        <v>4</v>
      </c>
      <c r="O15" s="7">
        <v>14</v>
      </c>
      <c r="P15" s="7">
        <v>20</v>
      </c>
      <c r="Q15" s="7">
        <v>20</v>
      </c>
      <c r="R15" s="7">
        <v>20</v>
      </c>
      <c r="S15" s="7">
        <v>20</v>
      </c>
      <c r="T15" s="7"/>
      <c r="U15" s="7"/>
      <c r="V15" s="7"/>
      <c r="W15" s="7"/>
      <c r="X15" s="7"/>
      <c r="Y15" s="7"/>
      <c r="Z15" s="7"/>
      <c r="AB15" s="7">
        <v>0</v>
      </c>
      <c r="AC15" s="7"/>
      <c r="AD15" s="7"/>
      <c r="AE15" s="7"/>
    </row>
    <row r="16" spans="1:31" ht="19.2" x14ac:dyDescent="0.35">
      <c r="A16" s="8">
        <v>11</v>
      </c>
      <c r="B16" s="9" t="s">
        <v>139</v>
      </c>
      <c r="C16" s="10">
        <f t="shared" si="0"/>
        <v>10.083333333333334</v>
      </c>
      <c r="D16" s="6">
        <v>9</v>
      </c>
      <c r="E16" s="6">
        <v>7.5</v>
      </c>
      <c r="F16" s="11">
        <f t="shared" si="1"/>
        <v>8.9833333333333343</v>
      </c>
      <c r="G16" s="10">
        <v>2</v>
      </c>
      <c r="H16" s="10">
        <f t="shared" si="2"/>
        <v>6.19</v>
      </c>
      <c r="I16" s="10">
        <v>7</v>
      </c>
      <c r="J16" s="6" t="str">
        <f t="shared" si="3"/>
        <v>REPROVADO</v>
      </c>
      <c r="K16" s="7">
        <v>1</v>
      </c>
      <c r="L16" s="7">
        <v>1</v>
      </c>
      <c r="M16" s="7">
        <v>0</v>
      </c>
      <c r="N16" s="7">
        <v>8.75</v>
      </c>
      <c r="O16" s="7">
        <v>0</v>
      </c>
      <c r="P16" s="7">
        <v>20</v>
      </c>
      <c r="Q16" s="7">
        <v>20</v>
      </c>
      <c r="R16" s="7">
        <v>20</v>
      </c>
      <c r="S16" s="7">
        <v>20</v>
      </c>
      <c r="T16" s="7"/>
      <c r="U16" s="7"/>
      <c r="V16" s="7"/>
      <c r="W16" s="7"/>
      <c r="X16" s="7"/>
      <c r="Y16" s="7"/>
      <c r="Z16" s="7"/>
      <c r="AB16" s="7">
        <v>0</v>
      </c>
      <c r="AC16" s="7"/>
      <c r="AD16" s="7"/>
      <c r="AE16" s="7"/>
    </row>
    <row r="17" spans="1:31" ht="19.2" x14ac:dyDescent="0.35">
      <c r="A17" s="8">
        <v>12</v>
      </c>
      <c r="B17" s="9" t="s">
        <v>140</v>
      </c>
      <c r="C17" s="10">
        <f t="shared" si="0"/>
        <v>11.777777777777779</v>
      </c>
      <c r="D17" s="6">
        <v>4</v>
      </c>
      <c r="E17" s="6">
        <v>7.5</v>
      </c>
      <c r="F17" s="11">
        <f t="shared" si="1"/>
        <v>8.1611111111111114</v>
      </c>
      <c r="G17" s="10">
        <v>8</v>
      </c>
      <c r="H17" s="10">
        <f t="shared" si="2"/>
        <v>8.0966666666666676</v>
      </c>
      <c r="I17" s="12">
        <v>8</v>
      </c>
      <c r="J17" s="6" t="str">
        <f t="shared" si="3"/>
        <v>APROVADO</v>
      </c>
      <c r="K17" s="7">
        <v>0</v>
      </c>
      <c r="L17" s="7">
        <f>4*0.5</f>
        <v>2</v>
      </c>
      <c r="M17" s="7">
        <v>0</v>
      </c>
      <c r="N17" s="7">
        <v>10</v>
      </c>
      <c r="O17" s="7">
        <v>14</v>
      </c>
      <c r="P17" s="7">
        <v>20</v>
      </c>
      <c r="Q17" s="7">
        <v>20</v>
      </c>
      <c r="R17" s="7">
        <v>20</v>
      </c>
      <c r="S17" s="7">
        <v>20</v>
      </c>
      <c r="T17" s="7"/>
      <c r="U17" s="7"/>
      <c r="V17" s="7"/>
      <c r="W17" s="7"/>
      <c r="X17" s="7"/>
      <c r="Y17" s="7"/>
      <c r="Z17" s="7"/>
      <c r="AB17" s="7">
        <v>0</v>
      </c>
      <c r="AC17" s="7"/>
      <c r="AD17" s="7"/>
      <c r="AE17" s="7"/>
    </row>
    <row r="18" spans="1:31" ht="19.2" x14ac:dyDescent="0.35">
      <c r="A18" s="8">
        <v>13</v>
      </c>
      <c r="B18" s="9" t="s">
        <v>141</v>
      </c>
      <c r="C18" s="10">
        <f t="shared" si="0"/>
        <v>12.888888888888889</v>
      </c>
      <c r="D18" s="6">
        <v>3</v>
      </c>
      <c r="E18" s="6">
        <v>7.5</v>
      </c>
      <c r="F18" s="11">
        <f t="shared" si="1"/>
        <v>8.3055555555555554</v>
      </c>
      <c r="G18" s="10">
        <v>12</v>
      </c>
      <c r="H18" s="10">
        <f t="shared" si="2"/>
        <v>9.783333333333335</v>
      </c>
      <c r="I18" s="10" t="s">
        <v>15</v>
      </c>
      <c r="J18" s="6" t="str">
        <f t="shared" si="3"/>
        <v>APROVADO</v>
      </c>
      <c r="K18" s="7">
        <v>10</v>
      </c>
      <c r="L18" s="7">
        <v>8</v>
      </c>
      <c r="M18" s="7">
        <v>0</v>
      </c>
      <c r="N18" s="7">
        <v>4</v>
      </c>
      <c r="O18" s="7">
        <v>14</v>
      </c>
      <c r="P18" s="7">
        <v>20</v>
      </c>
      <c r="Q18" s="7">
        <v>20</v>
      </c>
      <c r="R18" s="7">
        <v>20</v>
      </c>
      <c r="S18" s="7">
        <v>20</v>
      </c>
      <c r="T18" s="7"/>
      <c r="U18" s="7"/>
      <c r="V18" s="7"/>
      <c r="W18" s="7"/>
      <c r="X18" s="7"/>
      <c r="Y18" s="7"/>
      <c r="Z18" s="7"/>
      <c r="AB18" s="7">
        <v>0</v>
      </c>
      <c r="AC18" s="7"/>
      <c r="AD18" s="7"/>
      <c r="AE18" s="7"/>
    </row>
    <row r="19" spans="1:31" ht="19.2" x14ac:dyDescent="0.35">
      <c r="A19" s="8">
        <v>14</v>
      </c>
      <c r="B19" s="9" t="s">
        <v>142</v>
      </c>
      <c r="C19" s="10">
        <f t="shared" si="0"/>
        <v>11.444444444444445</v>
      </c>
      <c r="D19" s="6">
        <v>8</v>
      </c>
      <c r="E19" s="6">
        <v>10</v>
      </c>
      <c r="F19" s="11">
        <f t="shared" si="1"/>
        <v>9.9777777777777779</v>
      </c>
      <c r="G19" s="10">
        <v>8</v>
      </c>
      <c r="H19" s="10">
        <f t="shared" si="2"/>
        <v>9.1866666666666674</v>
      </c>
      <c r="I19" s="12">
        <v>8</v>
      </c>
      <c r="J19" s="6" t="str">
        <f t="shared" si="3"/>
        <v>APROVADO</v>
      </c>
      <c r="K19" s="7">
        <v>4</v>
      </c>
      <c r="L19" s="7">
        <v>0</v>
      </c>
      <c r="M19" s="7">
        <v>15</v>
      </c>
      <c r="N19" s="7">
        <v>4</v>
      </c>
      <c r="O19" s="7">
        <v>0</v>
      </c>
      <c r="P19" s="7">
        <v>20</v>
      </c>
      <c r="Q19" s="7">
        <v>20</v>
      </c>
      <c r="R19" s="7">
        <v>20</v>
      </c>
      <c r="S19" s="7">
        <v>20</v>
      </c>
      <c r="T19" s="7"/>
      <c r="U19" s="7"/>
      <c r="V19" s="7"/>
      <c r="W19" s="7"/>
      <c r="X19" s="7"/>
      <c r="Y19" s="7"/>
      <c r="Z19" s="7"/>
      <c r="AB19" s="7">
        <v>0</v>
      </c>
      <c r="AC19" s="7"/>
      <c r="AD19" s="7"/>
      <c r="AE19" s="7"/>
    </row>
    <row r="20" spans="1:31" ht="19.2" x14ac:dyDescent="0.35">
      <c r="A20" s="8">
        <v>15</v>
      </c>
      <c r="B20" s="9" t="s">
        <v>143</v>
      </c>
      <c r="C20" s="10">
        <f t="shared" si="0"/>
        <v>15.111111111111111</v>
      </c>
      <c r="D20" s="35">
        <v>9</v>
      </c>
      <c r="E20" s="6">
        <v>12.5</v>
      </c>
      <c r="F20" s="11">
        <f t="shared" si="1"/>
        <v>12.494444444444444</v>
      </c>
      <c r="G20" s="10">
        <v>14</v>
      </c>
      <c r="H20" s="10">
        <f t="shared" si="2"/>
        <v>13.096666666666668</v>
      </c>
      <c r="I20" s="10" t="s">
        <v>15</v>
      </c>
      <c r="J20" s="6" t="str">
        <f t="shared" si="3"/>
        <v>APROVADO</v>
      </c>
      <c r="K20" s="7">
        <v>14</v>
      </c>
      <c r="L20" s="7">
        <f>4*4.75</f>
        <v>19</v>
      </c>
      <c r="M20" s="7">
        <v>0</v>
      </c>
      <c r="N20" s="7">
        <v>9</v>
      </c>
      <c r="O20" s="7">
        <v>14</v>
      </c>
      <c r="P20" s="7">
        <v>20</v>
      </c>
      <c r="Q20" s="7">
        <v>20</v>
      </c>
      <c r="R20" s="7">
        <v>20</v>
      </c>
      <c r="S20" s="7">
        <v>20</v>
      </c>
      <c r="T20" s="7"/>
      <c r="U20" s="7"/>
      <c r="V20" s="7"/>
      <c r="W20" s="7"/>
      <c r="X20" s="7"/>
      <c r="Y20" s="7"/>
      <c r="Z20" s="7"/>
      <c r="AB20" s="7">
        <v>0</v>
      </c>
      <c r="AC20" s="7"/>
      <c r="AD20" s="7"/>
      <c r="AE20" s="7"/>
    </row>
    <row r="21" spans="1:31" ht="19.2" x14ac:dyDescent="0.35">
      <c r="A21" s="8">
        <v>16</v>
      </c>
      <c r="B21" s="9" t="s">
        <v>144</v>
      </c>
      <c r="C21" s="10">
        <f t="shared" si="0"/>
        <v>10.888888888888889</v>
      </c>
      <c r="D21" s="6">
        <v>2</v>
      </c>
      <c r="E21" s="6">
        <v>7.5</v>
      </c>
      <c r="F21" s="11">
        <f t="shared" si="1"/>
        <v>7.2055555555555557</v>
      </c>
      <c r="G21" s="10">
        <v>6</v>
      </c>
      <c r="H21" s="10">
        <f t="shared" si="2"/>
        <v>6.7233333333333336</v>
      </c>
      <c r="I21" s="12">
        <v>9</v>
      </c>
      <c r="J21" s="6" t="str">
        <f t="shared" si="3"/>
        <v>APROVADO</v>
      </c>
      <c r="K21" s="7">
        <v>0</v>
      </c>
      <c r="L21" s="7">
        <v>0</v>
      </c>
      <c r="M21" s="7">
        <v>0</v>
      </c>
      <c r="N21" s="7">
        <v>4</v>
      </c>
      <c r="O21" s="7">
        <v>14</v>
      </c>
      <c r="P21" s="7">
        <v>20</v>
      </c>
      <c r="Q21" s="7">
        <v>20</v>
      </c>
      <c r="R21" s="7">
        <v>20</v>
      </c>
      <c r="S21" s="7">
        <v>20</v>
      </c>
      <c r="T21" s="7"/>
      <c r="U21" s="7"/>
      <c r="V21" s="7"/>
      <c r="W21" s="7"/>
      <c r="X21" s="7"/>
      <c r="Y21" s="7"/>
      <c r="Z21" s="7"/>
      <c r="AB21" s="7">
        <v>0</v>
      </c>
      <c r="AC21" s="7"/>
      <c r="AD21" s="7"/>
      <c r="AE21" s="7"/>
    </row>
    <row r="22" spans="1:31" ht="19.2" x14ac:dyDescent="0.35">
      <c r="A22" s="8">
        <v>17</v>
      </c>
      <c r="B22" s="9" t="s">
        <v>145</v>
      </c>
      <c r="C22" s="10">
        <f t="shared" si="0"/>
        <v>12.866666666666667</v>
      </c>
      <c r="D22" s="6">
        <v>7</v>
      </c>
      <c r="E22" s="6">
        <v>12.5</v>
      </c>
      <c r="F22" s="11">
        <f t="shared" si="1"/>
        <v>10.996666666666666</v>
      </c>
      <c r="G22" s="10">
        <v>10</v>
      </c>
      <c r="H22" s="10">
        <f t="shared" si="2"/>
        <v>10.597999999999999</v>
      </c>
      <c r="I22" s="10" t="s">
        <v>15</v>
      </c>
      <c r="J22" s="6" t="str">
        <f t="shared" si="3"/>
        <v>APROVADO</v>
      </c>
      <c r="K22" s="7">
        <v>13</v>
      </c>
      <c r="L22" s="7">
        <f>4*0.7</f>
        <v>2.8</v>
      </c>
      <c r="M22" s="7">
        <v>0</v>
      </c>
      <c r="N22" s="7">
        <v>20</v>
      </c>
      <c r="O22" s="7">
        <v>0</v>
      </c>
      <c r="P22" s="7">
        <v>20</v>
      </c>
      <c r="Q22" s="7">
        <v>20</v>
      </c>
      <c r="R22" s="7">
        <v>20</v>
      </c>
      <c r="S22" s="7">
        <v>20</v>
      </c>
      <c r="T22" s="7"/>
      <c r="U22" s="7"/>
      <c r="V22" s="7"/>
      <c r="W22" s="7"/>
      <c r="X22" s="7"/>
      <c r="Y22" s="7"/>
      <c r="Z22" s="7"/>
      <c r="AB22" s="7">
        <v>0</v>
      </c>
      <c r="AC22" s="7"/>
      <c r="AD22" s="7"/>
      <c r="AE22" s="7"/>
    </row>
    <row r="23" spans="1:31" ht="19.2" x14ac:dyDescent="0.35">
      <c r="A23" s="8">
        <v>18</v>
      </c>
      <c r="B23" s="9" t="s">
        <v>146</v>
      </c>
      <c r="C23" s="10">
        <f t="shared" si="0"/>
        <v>12.222222222222221</v>
      </c>
      <c r="D23" s="6">
        <v>3</v>
      </c>
      <c r="E23" s="6">
        <v>7.5</v>
      </c>
      <c r="F23" s="11">
        <f t="shared" si="1"/>
        <v>8.0388888888888896</v>
      </c>
      <c r="G23" s="10">
        <v>8</v>
      </c>
      <c r="H23" s="10">
        <f t="shared" si="2"/>
        <v>8.0233333333333334</v>
      </c>
      <c r="I23" s="10">
        <v>10</v>
      </c>
      <c r="J23" s="6" t="str">
        <f t="shared" si="3"/>
        <v>APROVADO</v>
      </c>
      <c r="K23" s="7">
        <v>6</v>
      </c>
      <c r="L23" s="7">
        <v>4</v>
      </c>
      <c r="M23" s="7">
        <v>0</v>
      </c>
      <c r="N23" s="7">
        <v>6</v>
      </c>
      <c r="O23" s="7">
        <v>14</v>
      </c>
      <c r="P23" s="7">
        <v>20</v>
      </c>
      <c r="Q23" s="7">
        <v>20</v>
      </c>
      <c r="R23" s="7">
        <v>20</v>
      </c>
      <c r="S23" s="7">
        <v>20</v>
      </c>
      <c r="T23" s="7"/>
      <c r="U23" s="7"/>
      <c r="V23" s="7"/>
      <c r="W23" s="7"/>
      <c r="X23" s="7"/>
      <c r="Y23" s="7"/>
      <c r="Z23" s="7"/>
      <c r="AB23" s="7">
        <v>0</v>
      </c>
      <c r="AC23" s="7"/>
      <c r="AD23" s="7"/>
      <c r="AE23" s="7"/>
    </row>
    <row r="24" spans="1:31" ht="19.2" x14ac:dyDescent="0.35">
      <c r="A24" s="8">
        <v>19</v>
      </c>
      <c r="B24" s="9" t="s">
        <v>147</v>
      </c>
      <c r="C24" s="10">
        <f t="shared" si="0"/>
        <v>12.111111111111111</v>
      </c>
      <c r="D24" s="6">
        <v>7</v>
      </c>
      <c r="E24" s="6">
        <v>10</v>
      </c>
      <c r="F24" s="11">
        <f t="shared" si="1"/>
        <v>9.9444444444444446</v>
      </c>
      <c r="G24" s="10">
        <v>8</v>
      </c>
      <c r="H24" s="10">
        <f t="shared" si="2"/>
        <v>9.1666666666666679</v>
      </c>
      <c r="I24" s="10" t="s">
        <v>15</v>
      </c>
      <c r="J24" s="6" t="str">
        <f t="shared" si="3"/>
        <v>REPROVADO</v>
      </c>
      <c r="K24" s="7">
        <v>0</v>
      </c>
      <c r="L24" s="7">
        <v>0</v>
      </c>
      <c r="M24" s="7">
        <v>15</v>
      </c>
      <c r="N24" s="7">
        <v>0</v>
      </c>
      <c r="O24" s="7">
        <v>14</v>
      </c>
      <c r="P24" s="7">
        <v>20</v>
      </c>
      <c r="Q24" s="7">
        <v>20</v>
      </c>
      <c r="R24" s="7">
        <v>20</v>
      </c>
      <c r="S24" s="7">
        <v>20</v>
      </c>
      <c r="T24" s="7"/>
      <c r="U24" s="7"/>
      <c r="V24" s="7"/>
      <c r="W24" s="7"/>
      <c r="X24" s="7"/>
      <c r="Y24" s="7"/>
      <c r="Z24" s="7"/>
      <c r="AB24" s="7">
        <v>0</v>
      </c>
      <c r="AC24" s="7"/>
      <c r="AD24" s="7"/>
      <c r="AE24" s="7"/>
    </row>
    <row r="25" spans="1:31" ht="19.2" x14ac:dyDescent="0.35">
      <c r="A25" s="8">
        <v>20</v>
      </c>
      <c r="B25" s="9" t="s">
        <v>148</v>
      </c>
      <c r="C25" s="10">
        <f t="shared" si="0"/>
        <v>11.611111111111111</v>
      </c>
      <c r="D25" s="6">
        <v>3</v>
      </c>
      <c r="E25" s="6">
        <v>10</v>
      </c>
      <c r="F25" s="11">
        <f t="shared" si="1"/>
        <v>8.5444444444444443</v>
      </c>
      <c r="G25" s="10">
        <v>4</v>
      </c>
      <c r="H25" s="10">
        <f t="shared" si="2"/>
        <v>6.7266666666666666</v>
      </c>
      <c r="I25" s="10">
        <v>7</v>
      </c>
      <c r="J25" s="6" t="str">
        <f t="shared" si="3"/>
        <v>REPROVADO</v>
      </c>
      <c r="K25" s="7">
        <v>3</v>
      </c>
      <c r="L25" s="7">
        <v>0</v>
      </c>
      <c r="M25" s="7">
        <v>15</v>
      </c>
      <c r="N25" s="7">
        <v>6.5</v>
      </c>
      <c r="O25" s="7">
        <v>0</v>
      </c>
      <c r="P25" s="7">
        <v>20</v>
      </c>
      <c r="Q25" s="7">
        <v>20</v>
      </c>
      <c r="R25" s="7">
        <v>20</v>
      </c>
      <c r="S25" s="7">
        <v>20</v>
      </c>
      <c r="T25" s="7"/>
      <c r="U25" s="7"/>
      <c r="V25" s="7"/>
      <c r="W25" s="7"/>
      <c r="X25" s="7"/>
      <c r="Y25" s="7"/>
      <c r="Z25" s="7"/>
      <c r="AB25" s="7">
        <v>0</v>
      </c>
      <c r="AC25" s="7"/>
      <c r="AD25" s="7"/>
      <c r="AE25" s="7"/>
    </row>
    <row r="26" spans="1:31" ht="19.2" x14ac:dyDescent="0.35">
      <c r="A26" s="8">
        <v>21</v>
      </c>
      <c r="B26" s="9" t="s">
        <v>149</v>
      </c>
      <c r="C26" s="10">
        <f t="shared" si="0"/>
        <v>10.611111111111111</v>
      </c>
      <c r="D26" s="6">
        <v>2</v>
      </c>
      <c r="E26" s="6">
        <v>7.5</v>
      </c>
      <c r="F26" s="11">
        <f t="shared" si="1"/>
        <v>7.094444444444445</v>
      </c>
      <c r="G26" s="10">
        <v>10</v>
      </c>
      <c r="H26" s="10">
        <f t="shared" si="2"/>
        <v>8.2566666666666677</v>
      </c>
      <c r="I26" s="10">
        <v>0</v>
      </c>
      <c r="J26" s="6" t="str">
        <f t="shared" si="3"/>
        <v>REPROVADO</v>
      </c>
      <c r="K26" s="7">
        <v>0.5</v>
      </c>
      <c r="L26" s="7">
        <v>0</v>
      </c>
      <c r="M26" s="7">
        <v>15</v>
      </c>
      <c r="N26" s="7">
        <v>0</v>
      </c>
      <c r="O26" s="7">
        <v>0</v>
      </c>
      <c r="P26" s="7">
        <v>20</v>
      </c>
      <c r="Q26" s="7">
        <v>20</v>
      </c>
      <c r="R26" s="7">
        <v>20</v>
      </c>
      <c r="S26" s="7">
        <v>20</v>
      </c>
      <c r="T26" s="7"/>
      <c r="U26" s="7"/>
      <c r="V26" s="7"/>
      <c r="W26" s="7"/>
      <c r="X26" s="7"/>
      <c r="Y26" s="7"/>
      <c r="Z26" s="7"/>
      <c r="AB26" s="7">
        <v>0</v>
      </c>
      <c r="AC26" s="7"/>
      <c r="AD26" s="7"/>
      <c r="AE26" s="7"/>
    </row>
    <row r="27" spans="1:31" ht="19.2" x14ac:dyDescent="0.35">
      <c r="A27" s="8">
        <v>22</v>
      </c>
      <c r="B27" s="9" t="s">
        <v>150</v>
      </c>
      <c r="C27" s="10">
        <f t="shared" si="0"/>
        <v>10.777777777777779</v>
      </c>
      <c r="D27" s="6">
        <v>4</v>
      </c>
      <c r="E27" s="6">
        <v>7.5</v>
      </c>
      <c r="F27" s="11">
        <f t="shared" si="1"/>
        <v>7.7611111111111111</v>
      </c>
      <c r="G27" s="10">
        <v>6</v>
      </c>
      <c r="H27" s="10">
        <f t="shared" si="2"/>
        <v>7.0566666666666666</v>
      </c>
      <c r="I27" s="10" t="s">
        <v>15</v>
      </c>
      <c r="J27" s="6" t="str">
        <f t="shared" si="3"/>
        <v>REPROVADO</v>
      </c>
      <c r="K27" s="7">
        <v>3</v>
      </c>
      <c r="L27" s="7">
        <v>0</v>
      </c>
      <c r="M27" s="7">
        <v>0</v>
      </c>
      <c r="N27" s="7">
        <v>0</v>
      </c>
      <c r="O27" s="7">
        <v>14</v>
      </c>
      <c r="P27" s="7">
        <v>20</v>
      </c>
      <c r="Q27" s="7">
        <v>20</v>
      </c>
      <c r="R27" s="7">
        <v>20</v>
      </c>
      <c r="S27" s="7">
        <v>20</v>
      </c>
      <c r="T27" s="7"/>
      <c r="U27" s="7"/>
      <c r="V27" s="7"/>
      <c r="W27" s="7"/>
      <c r="X27" s="7"/>
      <c r="Y27" s="7"/>
      <c r="Z27" s="7"/>
      <c r="AB27" s="7">
        <v>0</v>
      </c>
      <c r="AC27" s="7"/>
      <c r="AD27" s="7"/>
      <c r="AE27" s="7"/>
    </row>
    <row r="28" spans="1:31" ht="19.2" x14ac:dyDescent="0.35">
      <c r="A28" s="8">
        <v>23</v>
      </c>
      <c r="B28" s="9" t="s">
        <v>151</v>
      </c>
      <c r="C28" s="10">
        <f t="shared" si="0"/>
        <v>0</v>
      </c>
      <c r="D28" s="6">
        <v>5</v>
      </c>
      <c r="E28" s="6" t="s">
        <v>15</v>
      </c>
      <c r="F28" s="11">
        <f t="shared" si="1"/>
        <v>1.5</v>
      </c>
      <c r="G28" s="10" t="s">
        <v>15</v>
      </c>
      <c r="H28" s="10">
        <f t="shared" si="2"/>
        <v>0.89999999999999991</v>
      </c>
      <c r="I28" s="10" t="s">
        <v>15</v>
      </c>
      <c r="J28" s="6" t="str">
        <f t="shared" si="3"/>
        <v>REPROVADO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B28" s="7">
        <v>0</v>
      </c>
      <c r="AC28" s="7"/>
      <c r="AD28" s="7"/>
      <c r="AE28" s="7"/>
    </row>
    <row r="29" spans="1:31" ht="19.2" x14ac:dyDescent="0.35">
      <c r="A29" s="8">
        <v>24</v>
      </c>
      <c r="B29" s="9" t="s">
        <v>152</v>
      </c>
      <c r="C29" s="10">
        <f t="shared" si="0"/>
        <v>11.666666666666666</v>
      </c>
      <c r="D29" s="6">
        <v>5</v>
      </c>
      <c r="E29" s="6">
        <v>5</v>
      </c>
      <c r="F29" s="11">
        <f t="shared" si="1"/>
        <v>7.666666666666667</v>
      </c>
      <c r="G29" s="10">
        <v>8</v>
      </c>
      <c r="H29" s="10">
        <f t="shared" si="2"/>
        <v>7.8</v>
      </c>
      <c r="I29" s="10">
        <v>10</v>
      </c>
      <c r="J29" s="6" t="str">
        <f t="shared" si="3"/>
        <v>APROVADO</v>
      </c>
      <c r="K29" s="7">
        <v>6</v>
      </c>
      <c r="L29" s="7">
        <v>0</v>
      </c>
      <c r="M29" s="7">
        <v>15</v>
      </c>
      <c r="N29" s="7">
        <v>4</v>
      </c>
      <c r="O29" s="7">
        <v>0</v>
      </c>
      <c r="P29" s="7">
        <v>20</v>
      </c>
      <c r="Q29" s="7">
        <v>20</v>
      </c>
      <c r="R29" s="7">
        <v>20</v>
      </c>
      <c r="S29" s="7">
        <v>20</v>
      </c>
      <c r="T29" s="7"/>
      <c r="U29" s="7"/>
      <c r="V29" s="7"/>
      <c r="W29" s="7"/>
      <c r="X29" s="7"/>
      <c r="Y29" s="7"/>
      <c r="Z29" s="7"/>
      <c r="AB29" s="7">
        <v>0</v>
      </c>
      <c r="AC29" s="7"/>
      <c r="AD29" s="7"/>
      <c r="AE29" s="7"/>
    </row>
    <row r="30" spans="1:31" ht="19.2" x14ac:dyDescent="0.35">
      <c r="A30" s="8">
        <v>25</v>
      </c>
      <c r="B30" s="9" t="s">
        <v>153</v>
      </c>
      <c r="C30" s="10">
        <f t="shared" si="0"/>
        <v>13.555555555555555</v>
      </c>
      <c r="D30" s="6">
        <v>4</v>
      </c>
      <c r="E30" s="6">
        <v>10</v>
      </c>
      <c r="F30" s="11">
        <f t="shared" si="1"/>
        <v>9.6222222222222236</v>
      </c>
      <c r="G30" s="10">
        <v>6</v>
      </c>
      <c r="H30" s="10">
        <f t="shared" si="2"/>
        <v>8.1733333333333356</v>
      </c>
      <c r="I30" s="10">
        <v>4</v>
      </c>
      <c r="J30" s="6" t="str">
        <f t="shared" si="3"/>
        <v>REPROVADO</v>
      </c>
      <c r="K30" s="7">
        <v>6</v>
      </c>
      <c r="L30" s="7">
        <v>1</v>
      </c>
      <c r="M30" s="7">
        <v>15</v>
      </c>
      <c r="N30" s="7">
        <v>6</v>
      </c>
      <c r="O30" s="7">
        <v>14</v>
      </c>
      <c r="P30" s="7">
        <v>20</v>
      </c>
      <c r="Q30" s="7">
        <v>20</v>
      </c>
      <c r="R30" s="7">
        <v>20</v>
      </c>
      <c r="S30" s="7">
        <v>20</v>
      </c>
      <c r="T30" s="7"/>
      <c r="U30" s="7"/>
      <c r="V30" s="7"/>
      <c r="W30" s="7"/>
      <c r="X30" s="7"/>
      <c r="Y30" s="7"/>
      <c r="Z30" s="7"/>
      <c r="AB30" s="7">
        <v>0</v>
      </c>
      <c r="AC30" s="7"/>
      <c r="AD30" s="7"/>
      <c r="AE30" s="7"/>
    </row>
    <row r="31" spans="1:31" ht="19.2" x14ac:dyDescent="0.35">
      <c r="A31" s="8">
        <v>26</v>
      </c>
      <c r="B31" s="36" t="s">
        <v>154</v>
      </c>
      <c r="C31" s="10">
        <f t="shared" si="0"/>
        <v>0</v>
      </c>
      <c r="D31" s="6" t="s">
        <v>61</v>
      </c>
      <c r="E31" s="6" t="s">
        <v>61</v>
      </c>
      <c r="F31" s="11">
        <f t="shared" si="1"/>
        <v>0</v>
      </c>
      <c r="G31" s="37">
        <v>4</v>
      </c>
      <c r="H31" s="10">
        <f t="shared" si="2"/>
        <v>4</v>
      </c>
      <c r="I31" s="10" t="s">
        <v>15</v>
      </c>
      <c r="J31" s="6" t="str">
        <f t="shared" si="3"/>
        <v>REPROVADO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B31" s="7">
        <v>0</v>
      </c>
      <c r="AC31" s="7"/>
      <c r="AD31" s="7"/>
      <c r="AE31" s="7"/>
    </row>
    <row r="32" spans="1:31" ht="19.2" x14ac:dyDescent="0.35">
      <c r="A32" s="8">
        <v>27</v>
      </c>
      <c r="B32" s="9" t="s">
        <v>155</v>
      </c>
      <c r="C32" s="10">
        <f t="shared" si="0"/>
        <v>8.8888888888888893</v>
      </c>
      <c r="D32" s="6">
        <v>4</v>
      </c>
      <c r="E32" s="6">
        <v>7.5</v>
      </c>
      <c r="F32" s="11">
        <f t="shared" si="1"/>
        <v>7.0055555555555555</v>
      </c>
      <c r="G32" s="10">
        <v>4</v>
      </c>
      <c r="H32" s="10">
        <f t="shared" si="2"/>
        <v>5.8033333333333328</v>
      </c>
      <c r="I32" s="10" t="s">
        <v>15</v>
      </c>
      <c r="J32" s="6" t="str">
        <f t="shared" si="3"/>
        <v>REPROVADO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20</v>
      </c>
      <c r="Q32" s="7">
        <v>20</v>
      </c>
      <c r="R32" s="7">
        <v>20</v>
      </c>
      <c r="S32" s="7">
        <v>20</v>
      </c>
      <c r="T32" s="7"/>
      <c r="U32" s="7"/>
      <c r="V32" s="7"/>
      <c r="W32" s="7"/>
      <c r="X32" s="7"/>
      <c r="Y32" s="7"/>
      <c r="Z32" s="7"/>
      <c r="AB32" s="7">
        <v>0</v>
      </c>
      <c r="AC32" s="7"/>
      <c r="AD32" s="7"/>
      <c r="AE32" s="7"/>
    </row>
    <row r="33" spans="1:31" ht="19.2" x14ac:dyDescent="0.35">
      <c r="A33" s="8">
        <v>28</v>
      </c>
      <c r="B33" s="9" t="s">
        <v>156</v>
      </c>
      <c r="C33" s="10">
        <f t="shared" si="0"/>
        <v>12.144444444444444</v>
      </c>
      <c r="D33" s="6">
        <v>6</v>
      </c>
      <c r="E33" s="6">
        <v>10</v>
      </c>
      <c r="F33" s="11">
        <f t="shared" si="1"/>
        <v>9.6577777777777776</v>
      </c>
      <c r="G33" s="10">
        <v>10</v>
      </c>
      <c r="H33" s="10">
        <f t="shared" si="2"/>
        <v>9.7946666666666662</v>
      </c>
      <c r="I33" s="10" t="s">
        <v>15</v>
      </c>
      <c r="J33" s="6" t="str">
        <f t="shared" si="3"/>
        <v>APROVADO</v>
      </c>
      <c r="K33" s="7">
        <v>0</v>
      </c>
      <c r="L33" s="7">
        <f>4*2.2</f>
        <v>8.8000000000000007</v>
      </c>
      <c r="M33" s="7">
        <v>0</v>
      </c>
      <c r="N33" s="7">
        <v>6.5</v>
      </c>
      <c r="O33" s="7">
        <v>14</v>
      </c>
      <c r="P33" s="7">
        <v>20</v>
      </c>
      <c r="Q33" s="7">
        <v>20</v>
      </c>
      <c r="R33" s="7">
        <v>20</v>
      </c>
      <c r="S33" s="7">
        <v>20</v>
      </c>
      <c r="T33" s="7"/>
      <c r="U33" s="7"/>
      <c r="V33" s="7"/>
      <c r="W33" s="7"/>
      <c r="X33" s="7"/>
      <c r="Y33" s="7"/>
      <c r="Z33" s="7"/>
      <c r="AB33" s="7">
        <v>0</v>
      </c>
      <c r="AC33" s="7"/>
      <c r="AD33" s="7"/>
      <c r="AE33" s="7"/>
    </row>
    <row r="34" spans="1:31" ht="19.2" x14ac:dyDescent="0.35">
      <c r="A34" s="8">
        <v>29</v>
      </c>
      <c r="B34" s="9" t="s">
        <v>157</v>
      </c>
      <c r="C34" s="10">
        <f t="shared" si="0"/>
        <v>14.166666666666666</v>
      </c>
      <c r="D34" s="6">
        <v>5</v>
      </c>
      <c r="E34" s="6">
        <v>5</v>
      </c>
      <c r="F34" s="11">
        <f t="shared" si="1"/>
        <v>8.6666666666666679</v>
      </c>
      <c r="G34" s="10">
        <v>4</v>
      </c>
      <c r="H34" s="10">
        <f t="shared" si="2"/>
        <v>6.8000000000000007</v>
      </c>
      <c r="I34" s="10">
        <v>10</v>
      </c>
      <c r="J34" s="6" t="str">
        <f t="shared" si="3"/>
        <v>APROVADO</v>
      </c>
      <c r="K34" s="7">
        <v>1.5</v>
      </c>
      <c r="L34" s="7">
        <f>4*1.5</f>
        <v>6</v>
      </c>
      <c r="M34" s="7">
        <v>15</v>
      </c>
      <c r="N34" s="7">
        <v>11</v>
      </c>
      <c r="O34" s="7">
        <v>14</v>
      </c>
      <c r="P34" s="7">
        <v>20</v>
      </c>
      <c r="Q34" s="7">
        <v>20</v>
      </c>
      <c r="R34" s="7">
        <v>20</v>
      </c>
      <c r="S34" s="7">
        <v>20</v>
      </c>
      <c r="T34" s="7"/>
      <c r="U34" s="7"/>
      <c r="V34" s="7"/>
      <c r="W34" s="7"/>
      <c r="X34" s="7"/>
      <c r="Y34" s="7"/>
      <c r="Z34" s="7"/>
      <c r="AB34" s="7">
        <v>0</v>
      </c>
      <c r="AC34" s="7"/>
      <c r="AD34" s="7"/>
      <c r="AE34" s="7"/>
    </row>
    <row r="35" spans="1:31" ht="19.2" x14ac:dyDescent="0.35">
      <c r="A35" s="8">
        <v>30</v>
      </c>
      <c r="B35" s="9" t="s">
        <v>158</v>
      </c>
      <c r="C35" s="10">
        <f t="shared" si="0"/>
        <v>10.444444444444445</v>
      </c>
      <c r="D35" s="6">
        <v>12</v>
      </c>
      <c r="E35" s="6">
        <v>12.5</v>
      </c>
      <c r="F35" s="11">
        <f t="shared" si="1"/>
        <v>11.527777777777779</v>
      </c>
      <c r="G35" s="10">
        <v>10</v>
      </c>
      <c r="H35" s="10">
        <f t="shared" si="2"/>
        <v>10.916666666666668</v>
      </c>
      <c r="I35" s="10" t="s">
        <v>15</v>
      </c>
      <c r="J35" s="6" t="str">
        <f t="shared" si="3"/>
        <v>APROVADO</v>
      </c>
      <c r="K35" s="7">
        <v>2</v>
      </c>
      <c r="L35" s="7">
        <v>4</v>
      </c>
      <c r="M35" s="7">
        <v>0</v>
      </c>
      <c r="N35" s="7">
        <v>8</v>
      </c>
      <c r="O35" s="7">
        <v>0</v>
      </c>
      <c r="P35" s="7">
        <v>20</v>
      </c>
      <c r="Q35" s="7">
        <v>20</v>
      </c>
      <c r="R35" s="7">
        <v>20</v>
      </c>
      <c r="S35" s="7">
        <v>20</v>
      </c>
      <c r="T35" s="7"/>
      <c r="U35" s="7"/>
      <c r="V35" s="7"/>
      <c r="W35" s="7"/>
      <c r="X35" s="7"/>
      <c r="Y35" s="7"/>
      <c r="Z35" s="7"/>
      <c r="AB35" s="7">
        <v>0</v>
      </c>
      <c r="AC35" s="7"/>
      <c r="AD35" s="7"/>
      <c r="AE35" s="7"/>
    </row>
    <row r="36" spans="1:31" ht="19.2" x14ac:dyDescent="0.35">
      <c r="A36" s="8">
        <v>31</v>
      </c>
      <c r="B36" s="9" t="s">
        <v>159</v>
      </c>
      <c r="C36" s="10">
        <f t="shared" si="0"/>
        <v>14.755555555555556</v>
      </c>
      <c r="D36" s="6">
        <v>6</v>
      </c>
      <c r="E36" s="6">
        <v>5</v>
      </c>
      <c r="F36" s="11">
        <f t="shared" si="1"/>
        <v>9.2022222222222219</v>
      </c>
      <c r="G36" s="10">
        <v>6</v>
      </c>
      <c r="H36" s="10">
        <f t="shared" si="2"/>
        <v>7.9213333333333331</v>
      </c>
      <c r="I36" s="12">
        <v>8</v>
      </c>
      <c r="J36" s="6" t="str">
        <f t="shared" si="3"/>
        <v>APROVADO</v>
      </c>
      <c r="K36" s="7">
        <v>2</v>
      </c>
      <c r="L36" s="7">
        <f>4*2.95</f>
        <v>11.8</v>
      </c>
      <c r="M36" s="7">
        <v>15</v>
      </c>
      <c r="N36" s="7">
        <v>10</v>
      </c>
      <c r="O36" s="7">
        <v>14</v>
      </c>
      <c r="P36" s="7">
        <v>20</v>
      </c>
      <c r="Q36" s="7">
        <v>20</v>
      </c>
      <c r="R36" s="7">
        <v>20</v>
      </c>
      <c r="S36" s="7">
        <v>20</v>
      </c>
      <c r="T36" s="7"/>
      <c r="U36" s="7"/>
      <c r="V36" s="7"/>
      <c r="W36" s="7"/>
      <c r="X36" s="7"/>
      <c r="Y36" s="7"/>
      <c r="Z36" s="7"/>
      <c r="AB36" s="7">
        <v>0</v>
      </c>
      <c r="AC36" s="7"/>
      <c r="AD36" s="7"/>
      <c r="AE36" s="7"/>
    </row>
    <row r="37" spans="1:31" ht="19.2" x14ac:dyDescent="0.35">
      <c r="A37" s="8">
        <v>32</v>
      </c>
      <c r="B37" s="9" t="s">
        <v>160</v>
      </c>
      <c r="C37" s="10">
        <f t="shared" si="0"/>
        <v>13.388888888888889</v>
      </c>
      <c r="D37" s="6">
        <v>8</v>
      </c>
      <c r="E37" s="6">
        <v>5</v>
      </c>
      <c r="F37" s="11">
        <f t="shared" si="1"/>
        <v>9.2555555555555564</v>
      </c>
      <c r="G37" s="10">
        <v>6</v>
      </c>
      <c r="H37" s="10">
        <f t="shared" si="2"/>
        <v>7.953333333333334</v>
      </c>
      <c r="I37" s="10">
        <v>4</v>
      </c>
      <c r="J37" s="6" t="str">
        <f t="shared" si="3"/>
        <v>REPROVADO</v>
      </c>
      <c r="K37" s="7">
        <v>6</v>
      </c>
      <c r="L37" s="7">
        <v>0</v>
      </c>
      <c r="M37" s="7">
        <v>15</v>
      </c>
      <c r="N37" s="7">
        <v>5.5</v>
      </c>
      <c r="O37" s="7">
        <v>14</v>
      </c>
      <c r="P37" s="7">
        <v>20</v>
      </c>
      <c r="Q37" s="7">
        <v>20</v>
      </c>
      <c r="R37" s="7">
        <v>20</v>
      </c>
      <c r="S37" s="7">
        <v>20</v>
      </c>
      <c r="T37" s="7"/>
      <c r="U37" s="7"/>
      <c r="V37" s="7"/>
      <c r="W37" s="7"/>
      <c r="X37" s="7"/>
      <c r="Y37" s="7"/>
      <c r="Z37" s="7"/>
      <c r="AB37" s="7">
        <v>0</v>
      </c>
      <c r="AC37" s="7"/>
      <c r="AD37" s="7"/>
      <c r="AE37" s="7"/>
    </row>
    <row r="38" spans="1:31" ht="19.2" x14ac:dyDescent="0.35">
      <c r="A38" s="8">
        <v>33</v>
      </c>
      <c r="B38" s="9" t="s">
        <v>161</v>
      </c>
      <c r="C38" s="10">
        <f t="shared" si="0"/>
        <v>12.111111111111111</v>
      </c>
      <c r="D38" s="6">
        <v>6</v>
      </c>
      <c r="E38" s="6">
        <v>7.5</v>
      </c>
      <c r="F38" s="11">
        <f t="shared" si="1"/>
        <v>8.8944444444444457</v>
      </c>
      <c r="G38" s="10">
        <v>8</v>
      </c>
      <c r="H38" s="10">
        <f t="shared" si="2"/>
        <v>8.5366666666666671</v>
      </c>
      <c r="I38" s="10">
        <v>10</v>
      </c>
      <c r="J38" s="6" t="str">
        <f t="shared" si="3"/>
        <v>APROVADO</v>
      </c>
      <c r="K38" s="7">
        <v>0</v>
      </c>
      <c r="L38" s="7">
        <v>0</v>
      </c>
      <c r="M38" s="7">
        <v>15</v>
      </c>
      <c r="N38" s="7">
        <v>0</v>
      </c>
      <c r="O38" s="7">
        <v>14</v>
      </c>
      <c r="P38" s="7">
        <v>20</v>
      </c>
      <c r="Q38" s="7">
        <v>20</v>
      </c>
      <c r="R38" s="7">
        <v>20</v>
      </c>
      <c r="S38" s="7">
        <v>20</v>
      </c>
      <c r="T38" s="7"/>
      <c r="U38" s="7"/>
      <c r="V38" s="7"/>
      <c r="W38" s="7"/>
      <c r="X38" s="7"/>
      <c r="Y38" s="7"/>
      <c r="Z38" s="7"/>
      <c r="AB38" s="7">
        <v>0</v>
      </c>
      <c r="AC38" s="7"/>
      <c r="AD38" s="7"/>
      <c r="AE38" s="7"/>
    </row>
    <row r="39" spans="1:31" ht="19.2" x14ac:dyDescent="0.35">
      <c r="A39" s="8">
        <v>34</v>
      </c>
      <c r="B39" s="9" t="s">
        <v>162</v>
      </c>
      <c r="C39" s="10">
        <f t="shared" si="0"/>
        <v>11.255555555555555</v>
      </c>
      <c r="D39" s="6">
        <v>9</v>
      </c>
      <c r="E39" s="6">
        <v>7.5</v>
      </c>
      <c r="F39" s="11">
        <f t="shared" si="1"/>
        <v>9.4522222222222219</v>
      </c>
      <c r="G39" s="12">
        <v>10</v>
      </c>
      <c r="H39" s="10">
        <f t="shared" si="2"/>
        <v>9.6713333333333331</v>
      </c>
      <c r="I39" s="10" t="s">
        <v>15</v>
      </c>
      <c r="J39" s="6" t="str">
        <f t="shared" si="3"/>
        <v>APROVADO</v>
      </c>
      <c r="K39" s="7">
        <v>0</v>
      </c>
      <c r="L39" s="7">
        <f>4*0.2</f>
        <v>0.8</v>
      </c>
      <c r="M39" s="7">
        <v>0</v>
      </c>
      <c r="N39" s="7">
        <v>6.5</v>
      </c>
      <c r="O39" s="7">
        <v>14</v>
      </c>
      <c r="P39" s="7">
        <v>20</v>
      </c>
      <c r="Q39" s="7">
        <v>20</v>
      </c>
      <c r="R39" s="7">
        <v>20</v>
      </c>
      <c r="S39" s="7">
        <v>20</v>
      </c>
      <c r="T39" s="7"/>
      <c r="U39" s="7"/>
      <c r="V39" s="7"/>
      <c r="W39" s="7"/>
      <c r="X39" s="7"/>
      <c r="Y39" s="7"/>
      <c r="Z39" s="7"/>
      <c r="AB39" s="7">
        <v>0</v>
      </c>
      <c r="AC39" s="7"/>
      <c r="AD39" s="7"/>
      <c r="AE39" s="7"/>
    </row>
    <row r="40" spans="1:31" ht="19.2" x14ac:dyDescent="0.35">
      <c r="A40" s="8">
        <v>35</v>
      </c>
      <c r="B40" s="9" t="s">
        <v>163</v>
      </c>
      <c r="C40" s="10">
        <f t="shared" si="0"/>
        <v>0</v>
      </c>
      <c r="D40" s="6">
        <v>2</v>
      </c>
      <c r="E40" s="6" t="s">
        <v>15</v>
      </c>
      <c r="F40" s="11">
        <f t="shared" si="1"/>
        <v>0.6</v>
      </c>
      <c r="G40" s="10" t="s">
        <v>15</v>
      </c>
      <c r="H40" s="10">
        <f t="shared" si="2"/>
        <v>0.36</v>
      </c>
      <c r="I40" s="10" t="s">
        <v>15</v>
      </c>
      <c r="J40" s="6" t="str">
        <f t="shared" si="3"/>
        <v>REPROVADO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B40" s="7">
        <v>0</v>
      </c>
      <c r="AC40" s="7"/>
      <c r="AD40" s="7"/>
      <c r="AE40" s="7"/>
    </row>
    <row r="41" spans="1:31" ht="19.2" x14ac:dyDescent="0.35">
      <c r="A41" s="8">
        <v>36</v>
      </c>
      <c r="B41" s="36" t="s">
        <v>164</v>
      </c>
      <c r="C41" s="10">
        <f t="shared" si="0"/>
        <v>0</v>
      </c>
      <c r="D41" s="6" t="s">
        <v>61</v>
      </c>
      <c r="E41" s="6" t="s">
        <v>61</v>
      </c>
      <c r="F41" s="11">
        <f t="shared" si="1"/>
        <v>0</v>
      </c>
      <c r="G41" s="37">
        <v>8</v>
      </c>
      <c r="H41" s="10">
        <f t="shared" si="2"/>
        <v>8</v>
      </c>
      <c r="I41" s="10">
        <v>5</v>
      </c>
      <c r="J41" s="6" t="str">
        <f t="shared" si="3"/>
        <v>REPROVADO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B41" s="7">
        <v>0</v>
      </c>
      <c r="AC41" s="7"/>
      <c r="AD41" s="7"/>
      <c r="AE41" s="7"/>
    </row>
    <row r="42" spans="1:31" ht="19.2" x14ac:dyDescent="0.35">
      <c r="A42" s="8">
        <v>37</v>
      </c>
      <c r="B42" s="9" t="s">
        <v>165</v>
      </c>
      <c r="C42" s="10">
        <f t="shared" si="0"/>
        <v>10.888888888888889</v>
      </c>
      <c r="D42" s="38">
        <v>9.8000000000000007</v>
      </c>
      <c r="E42" s="6">
        <v>7.5</v>
      </c>
      <c r="F42" s="11">
        <f t="shared" si="1"/>
        <v>9.5455555555555556</v>
      </c>
      <c r="G42" s="10">
        <v>6</v>
      </c>
      <c r="H42" s="10">
        <f t="shared" si="2"/>
        <v>8.1273333333333326</v>
      </c>
      <c r="I42" s="10" t="s">
        <v>15</v>
      </c>
      <c r="J42" s="6" t="str">
        <f t="shared" si="3"/>
        <v>REPROVADO</v>
      </c>
      <c r="K42" s="7">
        <v>0</v>
      </c>
      <c r="L42" s="7">
        <v>0</v>
      </c>
      <c r="M42" s="7">
        <v>0</v>
      </c>
      <c r="N42" s="7">
        <v>4</v>
      </c>
      <c r="O42" s="7">
        <v>14</v>
      </c>
      <c r="P42" s="7">
        <v>20</v>
      </c>
      <c r="Q42" s="7">
        <v>20</v>
      </c>
      <c r="R42" s="7">
        <v>20</v>
      </c>
      <c r="S42" s="7">
        <v>20</v>
      </c>
      <c r="T42" s="7"/>
      <c r="U42" s="7"/>
      <c r="V42" s="7"/>
      <c r="W42" s="7"/>
      <c r="X42" s="7"/>
      <c r="Y42" s="7"/>
      <c r="Z42" s="7"/>
      <c r="AB42" s="7">
        <v>0</v>
      </c>
      <c r="AC42" s="7"/>
      <c r="AD42" s="7"/>
      <c r="AE42" s="7"/>
    </row>
    <row r="43" spans="1:31" ht="19.2" x14ac:dyDescent="0.35">
      <c r="A43" s="8">
        <v>38</v>
      </c>
      <c r="B43" s="9" t="s">
        <v>166</v>
      </c>
      <c r="C43" s="10">
        <f t="shared" si="0"/>
        <v>9.5</v>
      </c>
      <c r="D43" s="6">
        <v>1</v>
      </c>
      <c r="E43" s="6">
        <v>2.5</v>
      </c>
      <c r="F43" s="11">
        <f t="shared" si="1"/>
        <v>4.8500000000000005</v>
      </c>
      <c r="G43" s="10" t="s">
        <v>15</v>
      </c>
      <c r="H43" s="10">
        <f t="shared" si="2"/>
        <v>2.91</v>
      </c>
      <c r="I43" s="10" t="s">
        <v>15</v>
      </c>
      <c r="J43" s="6" t="str">
        <f t="shared" si="3"/>
        <v>REPROVADO</v>
      </c>
      <c r="K43" s="7">
        <v>0</v>
      </c>
      <c r="L43" s="7">
        <v>0</v>
      </c>
      <c r="M43" s="7">
        <v>15</v>
      </c>
      <c r="N43" s="7">
        <v>8</v>
      </c>
      <c r="O43" s="7">
        <v>14</v>
      </c>
      <c r="P43" s="7">
        <v>20</v>
      </c>
      <c r="Q43" s="7"/>
      <c r="R43" s="7"/>
      <c r="S43" s="7"/>
      <c r="T43" s="7"/>
      <c r="U43" s="7"/>
      <c r="V43" s="7"/>
      <c r="W43" s="7"/>
      <c r="X43" s="7"/>
      <c r="Y43" s="7"/>
      <c r="Z43" s="7"/>
      <c r="AB43" s="7">
        <v>0</v>
      </c>
      <c r="AC43" s="7"/>
      <c r="AD43" s="7"/>
      <c r="AE43" s="7"/>
    </row>
    <row r="44" spans="1:31" ht="19.2" x14ac:dyDescent="0.35">
      <c r="A44" s="8">
        <v>39</v>
      </c>
      <c r="B44" s="9" t="s">
        <v>124</v>
      </c>
      <c r="C44" s="10">
        <f t="shared" si="0"/>
        <v>10.888888888888889</v>
      </c>
      <c r="D44" s="6">
        <v>3</v>
      </c>
      <c r="E44" s="6">
        <v>10</v>
      </c>
      <c r="F44" s="11">
        <f t="shared" si="1"/>
        <v>8.2555555555555564</v>
      </c>
      <c r="G44" s="10">
        <v>10</v>
      </c>
      <c r="H44" s="10">
        <f t="shared" si="2"/>
        <v>8.9533333333333331</v>
      </c>
      <c r="I44" s="10">
        <v>10</v>
      </c>
      <c r="J44" s="6" t="str">
        <f t="shared" si="3"/>
        <v>APROVADO</v>
      </c>
      <c r="K44" s="7">
        <v>0</v>
      </c>
      <c r="L44" s="7">
        <v>12</v>
      </c>
      <c r="M44" s="7">
        <v>0</v>
      </c>
      <c r="N44" s="7">
        <v>6</v>
      </c>
      <c r="O44" s="7">
        <v>0</v>
      </c>
      <c r="P44" s="7">
        <v>20</v>
      </c>
      <c r="Q44" s="7">
        <v>20</v>
      </c>
      <c r="R44" s="7">
        <v>20</v>
      </c>
      <c r="S44" s="7">
        <v>20</v>
      </c>
      <c r="T44" s="7"/>
      <c r="U44" s="7"/>
      <c r="V44" s="7"/>
      <c r="W44" s="7"/>
      <c r="X44" s="7"/>
      <c r="Y44" s="7"/>
      <c r="Z44" s="7"/>
      <c r="AB44" s="7">
        <v>0</v>
      </c>
      <c r="AC44" s="7"/>
      <c r="AD44" s="7"/>
      <c r="AE44" s="7"/>
    </row>
    <row r="45" spans="1:31" ht="19.2" x14ac:dyDescent="0.35">
      <c r="A45" s="8">
        <v>40</v>
      </c>
      <c r="B45" s="9" t="s">
        <v>167</v>
      </c>
      <c r="C45" s="10">
        <f t="shared" si="0"/>
        <v>10.888888888888889</v>
      </c>
      <c r="D45" s="6">
        <v>9</v>
      </c>
      <c r="E45" s="6">
        <v>7.5</v>
      </c>
      <c r="F45" s="11">
        <f t="shared" si="1"/>
        <v>9.3055555555555571</v>
      </c>
      <c r="G45" s="12">
        <v>10</v>
      </c>
      <c r="H45" s="10">
        <f t="shared" si="2"/>
        <v>9.5833333333333339</v>
      </c>
      <c r="I45" s="10" t="s">
        <v>15</v>
      </c>
      <c r="J45" s="6" t="str">
        <f t="shared" si="3"/>
        <v>APROVADO</v>
      </c>
      <c r="K45" s="7">
        <v>0</v>
      </c>
      <c r="L45" s="7">
        <v>0</v>
      </c>
      <c r="M45" s="7">
        <v>0</v>
      </c>
      <c r="N45" s="7">
        <v>4</v>
      </c>
      <c r="O45" s="7">
        <v>14</v>
      </c>
      <c r="P45" s="7">
        <v>20</v>
      </c>
      <c r="Q45" s="7">
        <v>20</v>
      </c>
      <c r="R45" s="7">
        <v>20</v>
      </c>
      <c r="S45" s="7">
        <v>20</v>
      </c>
      <c r="T45" s="7"/>
      <c r="U45" s="7"/>
      <c r="V45" s="7"/>
      <c r="W45" s="7"/>
      <c r="X45" s="7"/>
      <c r="Y45" s="7"/>
      <c r="Z45" s="7"/>
      <c r="AB45" s="7">
        <v>0</v>
      </c>
      <c r="AC45" s="7"/>
      <c r="AD45" s="7"/>
      <c r="AE45" s="7"/>
    </row>
    <row r="46" spans="1:31" ht="19.2" x14ac:dyDescent="0.35">
      <c r="A46" s="8">
        <v>41</v>
      </c>
      <c r="B46" s="9" t="s">
        <v>168</v>
      </c>
      <c r="C46" s="10">
        <f t="shared" si="0"/>
        <v>11.111111111111111</v>
      </c>
      <c r="D46" s="6">
        <v>8</v>
      </c>
      <c r="E46" s="6">
        <v>7.5</v>
      </c>
      <c r="F46" s="11">
        <f t="shared" si="1"/>
        <v>9.094444444444445</v>
      </c>
      <c r="G46" s="10">
        <v>8</v>
      </c>
      <c r="H46" s="10">
        <f t="shared" si="2"/>
        <v>8.6566666666666663</v>
      </c>
      <c r="I46" s="10">
        <v>10</v>
      </c>
      <c r="J46" s="6" t="str">
        <f t="shared" si="3"/>
        <v>APROVADO</v>
      </c>
      <c r="K46" s="7">
        <v>0</v>
      </c>
      <c r="L46" s="7">
        <v>0</v>
      </c>
      <c r="M46" s="7">
        <v>0</v>
      </c>
      <c r="N46" s="7">
        <v>6</v>
      </c>
      <c r="O46" s="7">
        <v>14</v>
      </c>
      <c r="P46" s="7">
        <v>20</v>
      </c>
      <c r="Q46" s="7">
        <v>20</v>
      </c>
      <c r="R46" s="7">
        <v>20</v>
      </c>
      <c r="S46" s="7">
        <v>20</v>
      </c>
      <c r="T46" s="7"/>
      <c r="U46" s="7"/>
      <c r="V46" s="7"/>
      <c r="W46" s="7"/>
      <c r="X46" s="7"/>
      <c r="Y46" s="7"/>
      <c r="Z46" s="7"/>
      <c r="AB46" s="7">
        <v>0</v>
      </c>
      <c r="AC46" s="7"/>
      <c r="AD46" s="7"/>
      <c r="AE46" s="7"/>
    </row>
    <row r="47" spans="1:31" ht="19.2" x14ac:dyDescent="0.35">
      <c r="A47" s="8">
        <v>42</v>
      </c>
      <c r="B47" s="9" t="s">
        <v>169</v>
      </c>
      <c r="C47" s="10">
        <f t="shared" si="0"/>
        <v>14.2</v>
      </c>
      <c r="D47" s="6">
        <v>14</v>
      </c>
      <c r="E47" s="6">
        <v>7.5</v>
      </c>
      <c r="F47" s="11">
        <f t="shared" si="1"/>
        <v>12.129999999999999</v>
      </c>
      <c r="G47" s="10">
        <v>6</v>
      </c>
      <c r="H47" s="10">
        <f t="shared" si="2"/>
        <v>9.677999999999999</v>
      </c>
      <c r="I47" s="10" t="s">
        <v>15</v>
      </c>
      <c r="J47" s="6" t="str">
        <f t="shared" si="3"/>
        <v>APROVADO</v>
      </c>
      <c r="K47" s="7">
        <v>0</v>
      </c>
      <c r="L47" s="7">
        <f>4*2.45</f>
        <v>9.8000000000000007</v>
      </c>
      <c r="M47" s="7">
        <v>15</v>
      </c>
      <c r="N47" s="7">
        <v>9</v>
      </c>
      <c r="O47" s="7">
        <v>14</v>
      </c>
      <c r="P47" s="7">
        <v>20</v>
      </c>
      <c r="Q47" s="7">
        <v>20</v>
      </c>
      <c r="R47" s="7">
        <v>20</v>
      </c>
      <c r="S47" s="7">
        <v>20</v>
      </c>
      <c r="T47" s="7"/>
      <c r="U47" s="7"/>
      <c r="V47" s="7"/>
      <c r="W47" s="7"/>
      <c r="X47" s="7"/>
      <c r="Y47" s="7"/>
      <c r="Z47" s="7"/>
      <c r="AB47" s="7">
        <v>0</v>
      </c>
      <c r="AC47" s="7"/>
      <c r="AD47" s="7"/>
      <c r="AE47" s="7"/>
    </row>
    <row r="48" spans="1:31" ht="19.2" x14ac:dyDescent="0.35">
      <c r="A48" s="8">
        <v>43</v>
      </c>
      <c r="B48" s="9" t="s">
        <v>170</v>
      </c>
      <c r="C48" s="10">
        <f t="shared" si="0"/>
        <v>12.888888888888889</v>
      </c>
      <c r="D48" s="6">
        <v>5</v>
      </c>
      <c r="E48" s="6">
        <v>5</v>
      </c>
      <c r="F48" s="11">
        <f t="shared" si="1"/>
        <v>8.155555555555555</v>
      </c>
      <c r="G48" s="10">
        <v>2</v>
      </c>
      <c r="H48" s="10">
        <f t="shared" si="2"/>
        <v>5.6933333333333325</v>
      </c>
      <c r="I48" s="10">
        <v>3</v>
      </c>
      <c r="J48" s="6" t="str">
        <f t="shared" si="3"/>
        <v>REPROVADO</v>
      </c>
      <c r="K48" s="7">
        <v>0</v>
      </c>
      <c r="L48" s="7">
        <f>4*0.75</f>
        <v>3</v>
      </c>
      <c r="M48" s="7">
        <v>15</v>
      </c>
      <c r="N48" s="7">
        <v>4</v>
      </c>
      <c r="O48" s="7">
        <v>14</v>
      </c>
      <c r="P48" s="7">
        <v>20</v>
      </c>
      <c r="Q48" s="7">
        <v>20</v>
      </c>
      <c r="R48" s="7">
        <v>20</v>
      </c>
      <c r="S48" s="7">
        <v>20</v>
      </c>
      <c r="T48" s="7"/>
      <c r="U48" s="7"/>
      <c r="V48" s="7"/>
      <c r="W48" s="7"/>
      <c r="X48" s="7"/>
      <c r="Y48" s="7"/>
      <c r="Z48" s="7"/>
      <c r="AB48" s="7">
        <v>0</v>
      </c>
      <c r="AC48" s="7"/>
      <c r="AD48" s="7"/>
      <c r="AE48" s="7"/>
    </row>
    <row r="49" spans="1:31" ht="19.2" x14ac:dyDescent="0.35">
      <c r="A49" s="8">
        <v>44</v>
      </c>
      <c r="B49" s="9" t="s">
        <v>171</v>
      </c>
      <c r="C49" s="10">
        <f t="shared" si="0"/>
        <v>0</v>
      </c>
      <c r="D49" s="6" t="s">
        <v>15</v>
      </c>
      <c r="E49" s="6" t="s">
        <v>15</v>
      </c>
      <c r="F49" s="11">
        <f t="shared" si="1"/>
        <v>0</v>
      </c>
      <c r="G49" s="10" t="s">
        <v>15</v>
      </c>
      <c r="H49" s="10">
        <f t="shared" si="2"/>
        <v>0</v>
      </c>
      <c r="I49" s="10" t="s">
        <v>15</v>
      </c>
      <c r="J49" s="6" t="str">
        <f t="shared" si="3"/>
        <v>REPROVADO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B49" s="7">
        <v>0</v>
      </c>
      <c r="AC49" s="7"/>
      <c r="AD49" s="7"/>
      <c r="AE49" s="7"/>
    </row>
    <row r="50" spans="1:31" ht="19.2" x14ac:dyDescent="0.35">
      <c r="A50" s="8">
        <v>45</v>
      </c>
      <c r="B50" s="9" t="s">
        <v>172</v>
      </c>
      <c r="C50" s="10">
        <f t="shared" si="0"/>
        <v>11.527777777777779</v>
      </c>
      <c r="D50" s="6">
        <v>2</v>
      </c>
      <c r="E50" s="6">
        <v>5</v>
      </c>
      <c r="F50" s="11">
        <f t="shared" si="1"/>
        <v>6.7111111111111121</v>
      </c>
      <c r="G50" s="10">
        <v>4</v>
      </c>
      <c r="H50" s="10">
        <f t="shared" si="2"/>
        <v>5.6266666666666669</v>
      </c>
      <c r="I50" s="10">
        <v>7</v>
      </c>
      <c r="J50" s="6" t="str">
        <f t="shared" si="3"/>
        <v>REPROVADO</v>
      </c>
      <c r="K50" s="7">
        <v>0</v>
      </c>
      <c r="L50" s="7">
        <v>4</v>
      </c>
      <c r="M50" s="7">
        <v>0</v>
      </c>
      <c r="N50" s="7">
        <v>5.75</v>
      </c>
      <c r="O50" s="7">
        <v>14</v>
      </c>
      <c r="P50" s="7">
        <v>20</v>
      </c>
      <c r="Q50" s="7">
        <v>20</v>
      </c>
      <c r="R50" s="7">
        <v>20</v>
      </c>
      <c r="S50" s="7">
        <v>20</v>
      </c>
      <c r="T50" s="7"/>
      <c r="U50" s="7"/>
      <c r="V50" s="7"/>
      <c r="W50" s="7"/>
      <c r="X50" s="7"/>
      <c r="Y50" s="7"/>
      <c r="Z50" s="7"/>
      <c r="AB50" s="7">
        <v>0</v>
      </c>
      <c r="AC50" s="7"/>
      <c r="AD50" s="7"/>
      <c r="AE50" s="7"/>
    </row>
    <row r="51" spans="1:31" ht="19.2" x14ac:dyDescent="0.35">
      <c r="A51" s="8">
        <v>46</v>
      </c>
      <c r="B51" s="9" t="s">
        <v>173</v>
      </c>
      <c r="C51" s="10">
        <f t="shared" si="0"/>
        <v>11.444444444444445</v>
      </c>
      <c r="D51" s="6">
        <v>5</v>
      </c>
      <c r="E51" s="6">
        <v>10</v>
      </c>
      <c r="F51" s="11">
        <f t="shared" si="1"/>
        <v>9.0777777777777793</v>
      </c>
      <c r="G51" s="10">
        <v>6</v>
      </c>
      <c r="H51" s="10">
        <f t="shared" si="2"/>
        <v>7.8466666666666676</v>
      </c>
      <c r="I51" s="12">
        <v>8</v>
      </c>
      <c r="J51" s="6" t="str">
        <f t="shared" si="3"/>
        <v>APROVADO</v>
      </c>
      <c r="K51" s="7">
        <v>8</v>
      </c>
      <c r="L51" s="7">
        <v>0</v>
      </c>
      <c r="M51" s="7">
        <v>15</v>
      </c>
      <c r="N51" s="7">
        <v>0</v>
      </c>
      <c r="O51" s="7">
        <v>0</v>
      </c>
      <c r="P51" s="7">
        <v>20</v>
      </c>
      <c r="Q51" s="7">
        <v>20</v>
      </c>
      <c r="R51" s="7">
        <v>20</v>
      </c>
      <c r="S51" s="7">
        <v>20</v>
      </c>
      <c r="T51" s="7"/>
      <c r="U51" s="7"/>
      <c r="V51" s="7"/>
      <c r="W51" s="7"/>
      <c r="X51" s="7"/>
      <c r="Y51" s="7"/>
      <c r="Z51" s="7"/>
      <c r="AB51" s="7">
        <v>0</v>
      </c>
      <c r="AC51" s="7"/>
      <c r="AD51" s="7"/>
      <c r="AE51" s="7"/>
    </row>
    <row r="52" spans="1:31" ht="19.2" x14ac:dyDescent="0.35">
      <c r="A52" s="8">
        <v>47</v>
      </c>
      <c r="B52" s="9" t="s">
        <v>174</v>
      </c>
      <c r="C52" s="10">
        <f t="shared" si="0"/>
        <v>13.533333333333333</v>
      </c>
      <c r="D52" s="6">
        <v>2</v>
      </c>
      <c r="E52" s="6">
        <v>5</v>
      </c>
      <c r="F52" s="11">
        <f t="shared" si="1"/>
        <v>7.5133333333333336</v>
      </c>
      <c r="G52" s="10">
        <v>4</v>
      </c>
      <c r="H52" s="10">
        <f t="shared" si="2"/>
        <v>6.1080000000000005</v>
      </c>
      <c r="I52" s="10">
        <v>7</v>
      </c>
      <c r="J52" s="6" t="str">
        <f t="shared" si="3"/>
        <v>REPROVADO</v>
      </c>
      <c r="K52" s="7">
        <v>0</v>
      </c>
      <c r="L52" s="7">
        <f>4*0.95</f>
        <v>3.8</v>
      </c>
      <c r="M52" s="7">
        <v>15</v>
      </c>
      <c r="N52" s="7">
        <v>9</v>
      </c>
      <c r="O52" s="7">
        <v>14</v>
      </c>
      <c r="P52" s="7">
        <v>20</v>
      </c>
      <c r="Q52" s="7">
        <v>20</v>
      </c>
      <c r="R52" s="7">
        <v>20</v>
      </c>
      <c r="S52" s="7">
        <v>20</v>
      </c>
      <c r="T52" s="7"/>
      <c r="U52" s="7"/>
      <c r="V52" s="7"/>
      <c r="W52" s="7"/>
      <c r="X52" s="7"/>
      <c r="Y52" s="7"/>
      <c r="Z52" s="7"/>
      <c r="AB52" s="7">
        <v>0</v>
      </c>
      <c r="AC52" s="7"/>
      <c r="AD52" s="7"/>
      <c r="AE52" s="7"/>
    </row>
    <row r="53" spans="1:31" ht="19.2" x14ac:dyDescent="0.35">
      <c r="A53" s="8">
        <v>48</v>
      </c>
      <c r="B53" s="9" t="s">
        <v>175</v>
      </c>
      <c r="C53" s="10">
        <f t="shared" si="0"/>
        <v>11.277777777777779</v>
      </c>
      <c r="D53" s="6">
        <v>4</v>
      </c>
      <c r="E53" s="6">
        <v>5</v>
      </c>
      <c r="F53" s="11">
        <f t="shared" si="1"/>
        <v>7.2111111111111121</v>
      </c>
      <c r="G53" s="10">
        <v>6</v>
      </c>
      <c r="H53" s="10">
        <f t="shared" si="2"/>
        <v>6.7266666666666675</v>
      </c>
      <c r="I53" s="10">
        <v>10</v>
      </c>
      <c r="J53" s="6" t="str">
        <f t="shared" si="3"/>
        <v>APROVADO</v>
      </c>
      <c r="K53" s="7">
        <v>0</v>
      </c>
      <c r="L53" s="7">
        <v>0</v>
      </c>
      <c r="M53" s="7">
        <v>15</v>
      </c>
      <c r="N53" s="7">
        <v>6.5</v>
      </c>
      <c r="O53" s="7">
        <v>0</v>
      </c>
      <c r="P53" s="7">
        <v>20</v>
      </c>
      <c r="Q53" s="7">
        <v>20</v>
      </c>
      <c r="R53" s="7">
        <v>20</v>
      </c>
      <c r="S53" s="7">
        <v>20</v>
      </c>
      <c r="T53" s="7"/>
      <c r="U53" s="7"/>
      <c r="V53" s="7"/>
      <c r="W53" s="7"/>
      <c r="X53" s="7"/>
      <c r="Y53" s="7"/>
      <c r="Z53" s="7"/>
      <c r="AB53" s="7">
        <v>0</v>
      </c>
      <c r="AC53" s="7"/>
      <c r="AD53" s="7"/>
      <c r="AE53" s="7"/>
    </row>
    <row r="54" spans="1:31" ht="19.2" x14ac:dyDescent="0.35">
      <c r="A54" s="8">
        <v>49</v>
      </c>
      <c r="B54" s="9" t="s">
        <v>176</v>
      </c>
      <c r="C54" s="10">
        <f t="shared" si="0"/>
        <v>13.444444444444445</v>
      </c>
      <c r="D54" s="6">
        <v>1</v>
      </c>
      <c r="E54" s="6">
        <v>7.5</v>
      </c>
      <c r="F54" s="11">
        <f t="shared" si="1"/>
        <v>7.927777777777778</v>
      </c>
      <c r="G54" s="10">
        <v>8</v>
      </c>
      <c r="H54" s="10">
        <f t="shared" si="2"/>
        <v>7.956666666666667</v>
      </c>
      <c r="I54" s="10">
        <v>6</v>
      </c>
      <c r="J54" s="6" t="str">
        <f t="shared" si="3"/>
        <v>REPROVADO</v>
      </c>
      <c r="K54" s="7">
        <v>2</v>
      </c>
      <c r="L54" s="7">
        <f>4*1.5</f>
        <v>6</v>
      </c>
      <c r="M54" s="7">
        <v>15</v>
      </c>
      <c r="N54" s="7">
        <v>4</v>
      </c>
      <c r="O54" s="7">
        <v>14</v>
      </c>
      <c r="P54" s="7">
        <v>20</v>
      </c>
      <c r="Q54" s="7">
        <v>20</v>
      </c>
      <c r="R54" s="7">
        <v>20</v>
      </c>
      <c r="S54" s="7">
        <v>20</v>
      </c>
      <c r="T54" s="7"/>
      <c r="U54" s="7"/>
      <c r="V54" s="7"/>
      <c r="W54" s="7"/>
      <c r="X54" s="7"/>
      <c r="Y54" s="7"/>
      <c r="Z54" s="7"/>
      <c r="AB54" s="7">
        <v>0</v>
      </c>
      <c r="AC54" s="7"/>
      <c r="AD54" s="7"/>
      <c r="AE54" s="7"/>
    </row>
    <row r="55" spans="1:31" ht="19.2" x14ac:dyDescent="0.35">
      <c r="A55" s="8">
        <v>50</v>
      </c>
      <c r="B55" s="9" t="s">
        <v>177</v>
      </c>
      <c r="C55" s="10">
        <f t="shared" si="0"/>
        <v>12.511111111111111</v>
      </c>
      <c r="D55" s="6">
        <v>5</v>
      </c>
      <c r="E55" s="6">
        <v>10</v>
      </c>
      <c r="F55" s="11">
        <f t="shared" si="1"/>
        <v>9.5044444444444451</v>
      </c>
      <c r="G55" s="10">
        <v>6</v>
      </c>
      <c r="H55" s="10">
        <f t="shared" si="2"/>
        <v>8.1026666666666678</v>
      </c>
      <c r="I55" s="12">
        <v>9</v>
      </c>
      <c r="J55" s="6" t="str">
        <f t="shared" si="3"/>
        <v>APROVADO</v>
      </c>
      <c r="K55" s="7">
        <v>2</v>
      </c>
      <c r="L55" s="7">
        <f>4*0.4</f>
        <v>1.6</v>
      </c>
      <c r="M55" s="7">
        <v>15</v>
      </c>
      <c r="N55" s="7">
        <v>0</v>
      </c>
      <c r="O55" s="7">
        <v>14</v>
      </c>
      <c r="P55" s="7">
        <v>20</v>
      </c>
      <c r="Q55" s="7">
        <v>20</v>
      </c>
      <c r="R55" s="7">
        <v>20</v>
      </c>
      <c r="S55" s="7">
        <v>20</v>
      </c>
      <c r="T55" s="7"/>
      <c r="U55" s="7"/>
      <c r="V55" s="7"/>
      <c r="W55" s="7"/>
      <c r="X55" s="7"/>
      <c r="Y55" s="7"/>
      <c r="Z55" s="7"/>
      <c r="AB55" s="7">
        <v>0</v>
      </c>
      <c r="AC55" s="7"/>
      <c r="AD55" s="7"/>
      <c r="AE55" s="7"/>
    </row>
    <row r="56" spans="1:31" ht="19.2" x14ac:dyDescent="0.35">
      <c r="A56" s="8">
        <v>51</v>
      </c>
      <c r="B56" s="9" t="s">
        <v>178</v>
      </c>
      <c r="C56" s="10">
        <f t="shared" si="0"/>
        <v>16</v>
      </c>
      <c r="D56" s="6">
        <v>10</v>
      </c>
      <c r="E56" s="6">
        <v>7.5</v>
      </c>
      <c r="F56" s="11">
        <f t="shared" si="1"/>
        <v>11.65</v>
      </c>
      <c r="G56" s="10">
        <v>2</v>
      </c>
      <c r="H56" s="10">
        <f t="shared" si="2"/>
        <v>7.79</v>
      </c>
      <c r="I56" s="10">
        <v>10</v>
      </c>
      <c r="J56" s="6" t="str">
        <f t="shared" si="3"/>
        <v>APROVADO</v>
      </c>
      <c r="K56" s="7">
        <v>18</v>
      </c>
      <c r="L56" s="7">
        <v>12</v>
      </c>
      <c r="M56" s="7">
        <v>15</v>
      </c>
      <c r="N56" s="7">
        <v>5</v>
      </c>
      <c r="O56" s="7">
        <v>14</v>
      </c>
      <c r="P56" s="7">
        <v>20</v>
      </c>
      <c r="Q56" s="7">
        <v>20</v>
      </c>
      <c r="R56" s="7">
        <v>20</v>
      </c>
      <c r="S56" s="7">
        <v>20</v>
      </c>
      <c r="T56" s="7"/>
      <c r="U56" s="7"/>
      <c r="V56" s="7"/>
      <c r="W56" s="7"/>
      <c r="X56" s="7"/>
      <c r="Y56" s="7"/>
      <c r="Z56" s="7"/>
      <c r="AB56" s="7">
        <v>0</v>
      </c>
      <c r="AC56" s="7"/>
      <c r="AD56" s="7"/>
      <c r="AE56" s="7"/>
    </row>
    <row r="57" spans="1:31" ht="19.2" x14ac:dyDescent="0.35">
      <c r="A57" s="8">
        <v>52</v>
      </c>
      <c r="B57" s="9" t="s">
        <v>179</v>
      </c>
      <c r="C57" s="10">
        <f t="shared" si="0"/>
        <v>12.944444444444445</v>
      </c>
      <c r="D57" s="6">
        <v>6</v>
      </c>
      <c r="E57" s="6">
        <v>7.5</v>
      </c>
      <c r="F57" s="11">
        <f t="shared" si="1"/>
        <v>9.2277777777777779</v>
      </c>
      <c r="G57" s="10">
        <v>8</v>
      </c>
      <c r="H57" s="10">
        <f t="shared" si="2"/>
        <v>8.7366666666666664</v>
      </c>
      <c r="I57" s="12">
        <v>8</v>
      </c>
      <c r="J57" s="6" t="str">
        <f t="shared" si="3"/>
        <v>APROVADO</v>
      </c>
      <c r="K57" s="7">
        <v>0</v>
      </c>
      <c r="L57" s="7">
        <v>0</v>
      </c>
      <c r="M57" s="7">
        <v>15</v>
      </c>
      <c r="N57" s="7">
        <v>7.5</v>
      </c>
      <c r="O57" s="7">
        <v>14</v>
      </c>
      <c r="P57" s="7">
        <v>20</v>
      </c>
      <c r="Q57" s="7">
        <v>20</v>
      </c>
      <c r="R57" s="7">
        <v>20</v>
      </c>
      <c r="S57" s="7">
        <v>20</v>
      </c>
      <c r="T57" s="7"/>
      <c r="U57" s="7"/>
      <c r="V57" s="7"/>
      <c r="W57" s="7"/>
      <c r="X57" s="7"/>
      <c r="Y57" s="7"/>
      <c r="Z57" s="7"/>
      <c r="AB57" s="7">
        <v>0</v>
      </c>
      <c r="AC57" s="7"/>
      <c r="AD57" s="7"/>
      <c r="AE57" s="7"/>
    </row>
    <row r="58" spans="1:31" ht="19.2" x14ac:dyDescent="0.35">
      <c r="A58" s="8">
        <v>53</v>
      </c>
      <c r="B58" s="9" t="s">
        <v>180</v>
      </c>
      <c r="C58" s="10">
        <f t="shared" si="0"/>
        <v>13.722222222222221</v>
      </c>
      <c r="D58" s="6">
        <v>4</v>
      </c>
      <c r="E58" s="6">
        <v>10</v>
      </c>
      <c r="F58" s="11">
        <f t="shared" si="1"/>
        <v>9.68888888888889</v>
      </c>
      <c r="G58" s="10">
        <v>8</v>
      </c>
      <c r="H58" s="10">
        <f t="shared" si="2"/>
        <v>9.0133333333333336</v>
      </c>
      <c r="I58" s="12">
        <v>9</v>
      </c>
      <c r="J58" s="6" t="str">
        <f t="shared" si="3"/>
        <v>APROVADO</v>
      </c>
      <c r="K58" s="7">
        <v>9</v>
      </c>
      <c r="L58" s="7">
        <v>0</v>
      </c>
      <c r="M58" s="7">
        <v>15</v>
      </c>
      <c r="N58" s="7">
        <v>5.5</v>
      </c>
      <c r="O58" s="7">
        <v>14</v>
      </c>
      <c r="P58" s="7">
        <v>20</v>
      </c>
      <c r="Q58" s="7">
        <v>20</v>
      </c>
      <c r="R58" s="7">
        <v>20</v>
      </c>
      <c r="S58" s="7">
        <v>20</v>
      </c>
      <c r="T58" s="7"/>
      <c r="U58" s="7"/>
      <c r="V58" s="7"/>
      <c r="W58" s="7"/>
      <c r="X58" s="7"/>
      <c r="Y58" s="7"/>
      <c r="Z58" s="7"/>
      <c r="AB58" s="7">
        <v>0</v>
      </c>
      <c r="AC58" s="7"/>
      <c r="AD58" s="7"/>
      <c r="AE58" s="7"/>
    </row>
    <row r="59" spans="1:31" ht="19.2" x14ac:dyDescent="0.35">
      <c r="A59" s="8">
        <v>54</v>
      </c>
      <c r="B59" s="9" t="s">
        <v>181</v>
      </c>
      <c r="C59" s="10">
        <f t="shared" si="0"/>
        <v>3.6666666666666665</v>
      </c>
      <c r="D59" s="6">
        <v>2</v>
      </c>
      <c r="E59" s="6">
        <v>2.5</v>
      </c>
      <c r="F59" s="11">
        <f t="shared" si="1"/>
        <v>2.8166666666666664</v>
      </c>
      <c r="G59" s="10" t="s">
        <v>15</v>
      </c>
      <c r="H59" s="10">
        <f t="shared" si="2"/>
        <v>1.6899999999999997</v>
      </c>
      <c r="I59" s="10" t="s">
        <v>15</v>
      </c>
      <c r="J59" s="6" t="str">
        <f t="shared" si="3"/>
        <v>REPROVADO</v>
      </c>
      <c r="K59" s="7">
        <v>2</v>
      </c>
      <c r="L59" s="7">
        <v>0</v>
      </c>
      <c r="M59" s="7">
        <v>0</v>
      </c>
      <c r="N59" s="7">
        <v>0</v>
      </c>
      <c r="O59" s="7">
        <v>0</v>
      </c>
      <c r="P59" s="7">
        <v>20</v>
      </c>
      <c r="Q59" s="7"/>
      <c r="R59" s="7"/>
      <c r="S59" s="7"/>
      <c r="T59" s="7"/>
      <c r="U59" s="7"/>
      <c r="V59" s="7"/>
      <c r="W59" s="7"/>
      <c r="X59" s="7"/>
      <c r="Y59" s="7"/>
      <c r="Z59" s="7"/>
      <c r="AB59" s="7">
        <v>0</v>
      </c>
      <c r="AC59" s="7"/>
      <c r="AD59" s="7"/>
      <c r="AE59" s="7"/>
    </row>
    <row r="60" spans="1:31" ht="19.2" x14ac:dyDescent="0.35">
      <c r="A60" s="8">
        <v>55</v>
      </c>
      <c r="B60" s="9" t="s">
        <v>125</v>
      </c>
      <c r="C60" s="10">
        <f t="shared" si="0"/>
        <v>8.8333333333333339</v>
      </c>
      <c r="D60" s="6">
        <v>0</v>
      </c>
      <c r="E60" s="6">
        <v>2.5</v>
      </c>
      <c r="F60" s="11">
        <f t="shared" si="1"/>
        <v>4.2833333333333332</v>
      </c>
      <c r="G60" s="10" t="s">
        <v>15</v>
      </c>
      <c r="H60" s="10">
        <f t="shared" si="2"/>
        <v>2.57</v>
      </c>
      <c r="I60" s="10" t="s">
        <v>15</v>
      </c>
      <c r="J60" s="6" t="str">
        <f t="shared" si="3"/>
        <v>REPROVADO</v>
      </c>
      <c r="K60" s="7">
        <v>0</v>
      </c>
      <c r="L60" s="7">
        <v>0</v>
      </c>
      <c r="M60" s="7">
        <v>15</v>
      </c>
      <c r="N60" s="7">
        <v>4</v>
      </c>
      <c r="O60" s="7">
        <v>14</v>
      </c>
      <c r="P60" s="7">
        <v>20</v>
      </c>
      <c r="Q60" s="7"/>
      <c r="R60" s="7"/>
      <c r="S60" s="7"/>
      <c r="T60" s="7"/>
      <c r="U60" s="7"/>
      <c r="V60" s="7"/>
      <c r="W60" s="7"/>
      <c r="X60" s="7"/>
      <c r="Y60" s="7"/>
      <c r="Z60" s="7"/>
      <c r="AB60" s="7">
        <v>0</v>
      </c>
      <c r="AC60" s="7"/>
      <c r="AD60" s="7"/>
      <c r="AE60" s="7"/>
    </row>
    <row r="61" spans="1:31" ht="19.2" x14ac:dyDescent="0.35">
      <c r="A61" s="8">
        <v>56</v>
      </c>
      <c r="B61" s="9" t="s">
        <v>182</v>
      </c>
      <c r="C61" s="10">
        <f t="shared" si="0"/>
        <v>10.444444444444445</v>
      </c>
      <c r="D61" s="6">
        <v>3</v>
      </c>
      <c r="E61" s="6">
        <v>10</v>
      </c>
      <c r="F61" s="11">
        <f t="shared" si="1"/>
        <v>8.0777777777777775</v>
      </c>
      <c r="G61" s="10">
        <v>8</v>
      </c>
      <c r="H61" s="10">
        <f t="shared" si="2"/>
        <v>8.0466666666666669</v>
      </c>
      <c r="I61" s="10">
        <v>10</v>
      </c>
      <c r="J61" s="6" t="str">
        <f t="shared" si="3"/>
        <v>APROVADO</v>
      </c>
      <c r="K61" s="7">
        <v>6</v>
      </c>
      <c r="L61" s="7">
        <v>0</v>
      </c>
      <c r="M61" s="7">
        <v>0</v>
      </c>
      <c r="N61" s="7">
        <v>8</v>
      </c>
      <c r="O61" s="7">
        <v>0</v>
      </c>
      <c r="P61" s="7">
        <v>20</v>
      </c>
      <c r="Q61" s="7">
        <v>20</v>
      </c>
      <c r="R61" s="7">
        <v>20</v>
      </c>
      <c r="S61" s="7">
        <v>20</v>
      </c>
      <c r="T61" s="7"/>
      <c r="U61" s="7"/>
      <c r="V61" s="7"/>
      <c r="W61" s="7"/>
      <c r="X61" s="7"/>
      <c r="Y61" s="7"/>
      <c r="Z61" s="7"/>
      <c r="AB61" s="7">
        <v>0</v>
      </c>
      <c r="AC61" s="7"/>
      <c r="AD61" s="7"/>
      <c r="AE61" s="7"/>
    </row>
    <row r="62" spans="1:31" ht="19.2" x14ac:dyDescent="0.35">
      <c r="A62" s="8">
        <v>57</v>
      </c>
      <c r="B62" s="9" t="s">
        <v>183</v>
      </c>
      <c r="C62" s="10">
        <f t="shared" si="0"/>
        <v>10.666666666666666</v>
      </c>
      <c r="D62" s="6">
        <v>5</v>
      </c>
      <c r="E62" s="6">
        <v>5</v>
      </c>
      <c r="F62" s="11">
        <f t="shared" si="1"/>
        <v>7.2666666666666666</v>
      </c>
      <c r="G62" s="10">
        <v>4</v>
      </c>
      <c r="H62" s="10">
        <f t="shared" si="2"/>
        <v>5.9599999999999991</v>
      </c>
      <c r="I62" s="10" t="s">
        <v>15</v>
      </c>
      <c r="J62" s="6" t="str">
        <f t="shared" si="3"/>
        <v>REPROVADO</v>
      </c>
      <c r="K62" s="7">
        <v>0</v>
      </c>
      <c r="L62" s="7">
        <f>4*0.25</f>
        <v>1</v>
      </c>
      <c r="M62" s="7">
        <v>15</v>
      </c>
      <c r="N62" s="7">
        <v>0</v>
      </c>
      <c r="O62" s="7">
        <v>0</v>
      </c>
      <c r="P62" s="7">
        <v>20</v>
      </c>
      <c r="Q62" s="7">
        <v>20</v>
      </c>
      <c r="R62" s="7">
        <v>20</v>
      </c>
      <c r="S62" s="7">
        <v>20</v>
      </c>
      <c r="T62" s="7"/>
      <c r="U62" s="7"/>
      <c r="V62" s="7"/>
      <c r="W62" s="7"/>
      <c r="X62" s="7"/>
      <c r="Y62" s="7"/>
      <c r="Z62" s="7"/>
      <c r="AB62" s="7">
        <v>0</v>
      </c>
      <c r="AC62" s="7"/>
      <c r="AD62" s="7"/>
      <c r="AE62" s="7"/>
    </row>
    <row r="63" spans="1:31" ht="19.2" x14ac:dyDescent="0.35">
      <c r="A63" s="8">
        <v>58</v>
      </c>
      <c r="B63" s="9" t="s">
        <v>184</v>
      </c>
      <c r="C63" s="10">
        <f t="shared" si="0"/>
        <v>10.277777777777779</v>
      </c>
      <c r="D63" s="39">
        <v>7</v>
      </c>
      <c r="E63" s="6">
        <v>7.5</v>
      </c>
      <c r="F63" s="11">
        <f t="shared" si="1"/>
        <v>8.4611111111111121</v>
      </c>
      <c r="G63" s="10">
        <v>8</v>
      </c>
      <c r="H63" s="10">
        <f t="shared" si="2"/>
        <v>8.2766666666666673</v>
      </c>
      <c r="I63" s="12">
        <v>9</v>
      </c>
      <c r="J63" s="6" t="str">
        <f t="shared" si="3"/>
        <v>APROVADO</v>
      </c>
      <c r="K63" s="7">
        <v>6</v>
      </c>
      <c r="L63" s="7">
        <v>0</v>
      </c>
      <c r="M63" s="7">
        <v>0</v>
      </c>
      <c r="N63" s="7">
        <v>6.5</v>
      </c>
      <c r="O63" s="7">
        <v>0</v>
      </c>
      <c r="P63" s="7">
        <v>20</v>
      </c>
      <c r="Q63" s="7">
        <v>20</v>
      </c>
      <c r="R63" s="7">
        <v>20</v>
      </c>
      <c r="S63" s="7">
        <v>20</v>
      </c>
      <c r="T63" s="7"/>
      <c r="U63" s="7"/>
      <c r="V63" s="7"/>
      <c r="W63" s="7"/>
      <c r="X63" s="7"/>
      <c r="Y63" s="7"/>
      <c r="Z63" s="7"/>
      <c r="AB63" s="7">
        <v>0</v>
      </c>
      <c r="AC63" s="7"/>
      <c r="AD63" s="7"/>
      <c r="AE63" s="7"/>
    </row>
    <row r="64" spans="1:31" ht="19.2" x14ac:dyDescent="0.35">
      <c r="A64" s="8">
        <v>59</v>
      </c>
      <c r="B64" s="9" t="s">
        <v>185</v>
      </c>
      <c r="C64" s="10">
        <f t="shared" si="0"/>
        <v>12</v>
      </c>
      <c r="D64" s="6">
        <v>4</v>
      </c>
      <c r="E64" s="6">
        <v>2.5</v>
      </c>
      <c r="F64" s="11">
        <f t="shared" si="1"/>
        <v>6.7500000000000009</v>
      </c>
      <c r="G64" s="10">
        <v>8</v>
      </c>
      <c r="H64" s="10">
        <f t="shared" si="2"/>
        <v>7.2500000000000009</v>
      </c>
      <c r="I64" s="10">
        <v>6</v>
      </c>
      <c r="J64" s="6" t="str">
        <f t="shared" si="3"/>
        <v>REPROVADO</v>
      </c>
      <c r="K64" s="7">
        <v>6</v>
      </c>
      <c r="L64" s="7">
        <v>0</v>
      </c>
      <c r="M64" s="7">
        <v>0</v>
      </c>
      <c r="N64" s="7">
        <v>8</v>
      </c>
      <c r="O64" s="7">
        <v>14</v>
      </c>
      <c r="P64" s="7">
        <v>20</v>
      </c>
      <c r="Q64" s="7">
        <v>20</v>
      </c>
      <c r="R64" s="7">
        <v>20</v>
      </c>
      <c r="S64" s="7">
        <v>20</v>
      </c>
      <c r="T64" s="7"/>
      <c r="U64" s="7"/>
      <c r="V64" s="7"/>
      <c r="W64" s="7"/>
      <c r="X64" s="7"/>
      <c r="Y64" s="7"/>
      <c r="Z64" s="7"/>
      <c r="AB64" s="7">
        <v>0</v>
      </c>
      <c r="AC64" s="7"/>
      <c r="AD64" s="7"/>
      <c r="AE64" s="7"/>
    </row>
    <row r="65" spans="1:31" ht="19.2" x14ac:dyDescent="0.35">
      <c r="A65" s="8">
        <v>60</v>
      </c>
      <c r="B65" s="9" t="s">
        <v>186</v>
      </c>
      <c r="C65" s="10">
        <f t="shared" si="0"/>
        <v>11.555555555555555</v>
      </c>
      <c r="D65" s="6">
        <v>8</v>
      </c>
      <c r="E65" s="6">
        <v>5</v>
      </c>
      <c r="F65" s="11">
        <f t="shared" si="1"/>
        <v>8.5222222222222221</v>
      </c>
      <c r="G65" s="10">
        <v>10</v>
      </c>
      <c r="H65" s="10">
        <f t="shared" si="2"/>
        <v>9.1133333333333333</v>
      </c>
      <c r="I65" s="10">
        <v>10</v>
      </c>
      <c r="J65" s="6" t="str">
        <f t="shared" si="3"/>
        <v>APROVADO</v>
      </c>
      <c r="K65" s="7">
        <v>0</v>
      </c>
      <c r="L65" s="7">
        <f>4*2.25</f>
        <v>9</v>
      </c>
      <c r="M65" s="7">
        <v>15</v>
      </c>
      <c r="N65" s="7">
        <v>0</v>
      </c>
      <c r="O65" s="7">
        <v>0</v>
      </c>
      <c r="P65" s="7">
        <v>20</v>
      </c>
      <c r="Q65" s="7">
        <v>20</v>
      </c>
      <c r="R65" s="7">
        <v>20</v>
      </c>
      <c r="S65" s="7">
        <v>20</v>
      </c>
      <c r="T65" s="7"/>
      <c r="U65" s="7"/>
      <c r="V65" s="7"/>
      <c r="W65" s="7"/>
      <c r="X65" s="7"/>
      <c r="Y65" s="7"/>
      <c r="Z65" s="7"/>
      <c r="AB65" s="7">
        <v>0</v>
      </c>
      <c r="AC65" s="7"/>
      <c r="AD65" s="7"/>
      <c r="AE65" s="7"/>
    </row>
    <row r="66" spans="1:31" ht="19.2" x14ac:dyDescent="0.35">
      <c r="A66" s="8">
        <v>61</v>
      </c>
      <c r="B66" s="9" t="s">
        <v>187</v>
      </c>
      <c r="C66" s="10">
        <f t="shared" si="0"/>
        <v>7.083333333333333</v>
      </c>
      <c r="D66" s="6">
        <v>0</v>
      </c>
      <c r="E66" s="6">
        <v>2.5</v>
      </c>
      <c r="F66" s="11">
        <f t="shared" si="1"/>
        <v>3.5833333333333335</v>
      </c>
      <c r="G66" s="10" t="s">
        <v>15</v>
      </c>
      <c r="H66" s="10">
        <f t="shared" si="2"/>
        <v>2.15</v>
      </c>
      <c r="I66" s="10" t="s">
        <v>15</v>
      </c>
      <c r="J66" s="6" t="str">
        <f t="shared" si="3"/>
        <v>REPROVADO</v>
      </c>
      <c r="K66" s="7">
        <v>0</v>
      </c>
      <c r="L66" s="7">
        <v>1</v>
      </c>
      <c r="M66" s="7">
        <v>15</v>
      </c>
      <c r="N66" s="7">
        <v>6.5</v>
      </c>
      <c r="O66" s="7">
        <v>0</v>
      </c>
      <c r="P66" s="7">
        <v>20</v>
      </c>
      <c r="Q66" s="7"/>
      <c r="R66" s="7"/>
      <c r="S66" s="7"/>
      <c r="T66" s="7"/>
      <c r="U66" s="7"/>
      <c r="V66" s="7"/>
      <c r="W66" s="7"/>
      <c r="X66" s="7"/>
      <c r="Y66" s="7"/>
      <c r="Z66" s="7"/>
      <c r="AB66" s="7">
        <v>0</v>
      </c>
      <c r="AC66" s="7"/>
      <c r="AD66" s="7"/>
      <c r="AE66" s="7"/>
    </row>
    <row r="67" spans="1:31" ht="19.2" x14ac:dyDescent="0.35">
      <c r="A67" s="8">
        <v>62</v>
      </c>
      <c r="B67" s="9" t="s">
        <v>188</v>
      </c>
      <c r="C67" s="10">
        <f t="shared" si="0"/>
        <v>12.111111111111111</v>
      </c>
      <c r="D67" s="6">
        <v>9</v>
      </c>
      <c r="E67" s="6">
        <v>2.5</v>
      </c>
      <c r="F67" s="11">
        <f t="shared" si="1"/>
        <v>8.2944444444444443</v>
      </c>
      <c r="G67" s="10">
        <v>2</v>
      </c>
      <c r="H67" s="10">
        <f t="shared" si="2"/>
        <v>5.7766666666666664</v>
      </c>
      <c r="I67" s="10">
        <v>4</v>
      </c>
      <c r="J67" s="6" t="str">
        <f t="shared" si="3"/>
        <v>REPROVADO</v>
      </c>
      <c r="K67" s="7">
        <v>0</v>
      </c>
      <c r="L67" s="7">
        <v>0</v>
      </c>
      <c r="M67" s="7">
        <v>15</v>
      </c>
      <c r="N67" s="7">
        <v>0</v>
      </c>
      <c r="O67" s="7">
        <v>14</v>
      </c>
      <c r="P67" s="7">
        <v>20</v>
      </c>
      <c r="Q67" s="7">
        <v>20</v>
      </c>
      <c r="R67" s="7">
        <v>20</v>
      </c>
      <c r="S67" s="7">
        <v>20</v>
      </c>
      <c r="T67" s="7"/>
      <c r="U67" s="7"/>
      <c r="V67" s="7"/>
      <c r="W67" s="7"/>
      <c r="X67" s="7"/>
      <c r="Y67" s="7"/>
      <c r="Z67" s="7"/>
      <c r="AB67" s="7">
        <v>0</v>
      </c>
      <c r="AC67" s="7"/>
      <c r="AD67" s="7"/>
      <c r="AE67" s="7"/>
    </row>
    <row r="68" spans="1:31" ht="19.2" x14ac:dyDescent="0.35">
      <c r="A68" s="8">
        <v>63</v>
      </c>
      <c r="B68" s="9" t="s">
        <v>189</v>
      </c>
      <c r="C68" s="10">
        <f t="shared" si="0"/>
        <v>12.111111111111111</v>
      </c>
      <c r="D68" s="6">
        <v>10</v>
      </c>
      <c r="E68" s="6">
        <v>2.5</v>
      </c>
      <c r="F68" s="11">
        <f t="shared" si="1"/>
        <v>8.594444444444445</v>
      </c>
      <c r="G68" s="10">
        <v>8</v>
      </c>
      <c r="H68" s="10">
        <f t="shared" si="2"/>
        <v>8.3566666666666674</v>
      </c>
      <c r="I68" s="10">
        <v>7</v>
      </c>
      <c r="J68" s="6" t="str">
        <f t="shared" si="3"/>
        <v>REPROVADO</v>
      </c>
      <c r="K68" s="7">
        <v>0</v>
      </c>
      <c r="L68" s="7">
        <v>0</v>
      </c>
      <c r="M68" s="7">
        <v>15</v>
      </c>
      <c r="N68" s="7">
        <v>0</v>
      </c>
      <c r="O68" s="7">
        <v>14</v>
      </c>
      <c r="P68" s="7">
        <v>20</v>
      </c>
      <c r="Q68" s="7">
        <v>20</v>
      </c>
      <c r="R68" s="7">
        <v>20</v>
      </c>
      <c r="S68" s="7">
        <v>20</v>
      </c>
      <c r="T68" s="7"/>
      <c r="U68" s="7"/>
      <c r="V68" s="7"/>
      <c r="W68" s="7"/>
      <c r="X68" s="7"/>
      <c r="Y68" s="7"/>
      <c r="Z68" s="7"/>
      <c r="AB68" s="7">
        <v>0</v>
      </c>
      <c r="AC68" s="7"/>
      <c r="AD68" s="7"/>
      <c r="AE68" s="7"/>
    </row>
    <row r="69" spans="1:31" ht="19.2" x14ac:dyDescent="0.35">
      <c r="A69" s="8">
        <v>64</v>
      </c>
      <c r="B69" s="9" t="s">
        <v>190</v>
      </c>
      <c r="C69" s="10">
        <f t="shared" si="0"/>
        <v>13.888888888888889</v>
      </c>
      <c r="D69" s="6">
        <v>3</v>
      </c>
      <c r="E69" s="6">
        <v>10</v>
      </c>
      <c r="F69" s="11">
        <f t="shared" si="1"/>
        <v>9.4555555555555557</v>
      </c>
      <c r="G69" s="10">
        <v>0</v>
      </c>
      <c r="H69" s="10">
        <f t="shared" si="2"/>
        <v>5.6733333333333329</v>
      </c>
      <c r="I69" s="10">
        <v>10</v>
      </c>
      <c r="J69" s="6" t="str">
        <f t="shared" si="3"/>
        <v>APROVADO</v>
      </c>
      <c r="K69" s="7">
        <v>0</v>
      </c>
      <c r="L69" s="7">
        <f>4*4</f>
        <v>16</v>
      </c>
      <c r="M69" s="7">
        <v>15</v>
      </c>
      <c r="N69" s="7">
        <v>0</v>
      </c>
      <c r="O69" s="7">
        <v>14</v>
      </c>
      <c r="P69" s="7">
        <v>20</v>
      </c>
      <c r="Q69" s="7">
        <v>20</v>
      </c>
      <c r="R69" s="7">
        <v>20</v>
      </c>
      <c r="S69" s="7">
        <v>20</v>
      </c>
      <c r="T69" s="7"/>
      <c r="U69" s="7"/>
      <c r="V69" s="7"/>
      <c r="W69" s="7"/>
      <c r="X69" s="7"/>
      <c r="Y69" s="7"/>
      <c r="Z69" s="7"/>
      <c r="AB69" s="7">
        <v>0</v>
      </c>
      <c r="AC69" s="7"/>
      <c r="AD69" s="7"/>
      <c r="AE69" s="7"/>
    </row>
    <row r="70" spans="1:31" ht="19.2" x14ac:dyDescent="0.35">
      <c r="A70" s="8">
        <v>65</v>
      </c>
      <c r="B70" s="9" t="s">
        <v>191</v>
      </c>
      <c r="C70" s="10">
        <f t="shared" si="0"/>
        <v>13.5</v>
      </c>
      <c r="D70" s="6">
        <v>11</v>
      </c>
      <c r="E70" s="6">
        <v>2.5</v>
      </c>
      <c r="F70" s="11">
        <f t="shared" si="1"/>
        <v>9.4499999999999993</v>
      </c>
      <c r="G70" s="10">
        <v>8</v>
      </c>
      <c r="H70" s="10">
        <f t="shared" si="2"/>
        <v>8.8699999999999992</v>
      </c>
      <c r="I70" s="10">
        <v>10</v>
      </c>
      <c r="J70" s="6" t="str">
        <f t="shared" si="3"/>
        <v>APROVADO</v>
      </c>
      <c r="K70" s="7">
        <v>10</v>
      </c>
      <c r="L70" s="7">
        <v>0</v>
      </c>
      <c r="M70" s="7">
        <v>15</v>
      </c>
      <c r="N70" s="7">
        <v>6.5</v>
      </c>
      <c r="O70" s="7">
        <v>10</v>
      </c>
      <c r="P70" s="7">
        <v>20</v>
      </c>
      <c r="Q70" s="7">
        <v>20</v>
      </c>
      <c r="R70" s="7">
        <v>20</v>
      </c>
      <c r="S70" s="7">
        <v>20</v>
      </c>
      <c r="T70" s="7"/>
      <c r="U70" s="7"/>
      <c r="V70" s="7"/>
      <c r="W70" s="7"/>
      <c r="X70" s="7"/>
      <c r="Y70" s="7"/>
      <c r="Z70" s="7"/>
      <c r="AB70" s="7">
        <v>0</v>
      </c>
      <c r="AC70" s="7"/>
      <c r="AD70" s="7"/>
      <c r="AE70" s="7"/>
    </row>
    <row r="71" spans="1:31" ht="19.2" x14ac:dyDescent="0.35">
      <c r="A71" s="8">
        <v>66</v>
      </c>
      <c r="B71" s="9" t="s">
        <v>192</v>
      </c>
      <c r="C71" s="10">
        <f t="shared" si="0"/>
        <v>12</v>
      </c>
      <c r="D71" s="6">
        <v>0</v>
      </c>
      <c r="E71" s="6">
        <v>7.5</v>
      </c>
      <c r="F71" s="11">
        <f t="shared" si="1"/>
        <v>7.0500000000000007</v>
      </c>
      <c r="G71" s="10">
        <v>8</v>
      </c>
      <c r="H71" s="10">
        <f t="shared" si="2"/>
        <v>7.4300000000000006</v>
      </c>
      <c r="I71" s="10">
        <v>10</v>
      </c>
      <c r="J71" s="6" t="str">
        <f t="shared" si="3"/>
        <v>APROVADO</v>
      </c>
      <c r="K71" s="7">
        <v>5</v>
      </c>
      <c r="L71" s="7">
        <v>0</v>
      </c>
      <c r="M71" s="7">
        <v>15</v>
      </c>
      <c r="N71" s="7">
        <f>4+4</f>
        <v>8</v>
      </c>
      <c r="O71" s="7">
        <v>0</v>
      </c>
      <c r="P71" s="7">
        <v>20</v>
      </c>
      <c r="Q71" s="7">
        <v>20</v>
      </c>
      <c r="R71" s="7">
        <v>20</v>
      </c>
      <c r="S71" s="7">
        <v>20</v>
      </c>
      <c r="T71" s="7"/>
      <c r="U71" s="7"/>
      <c r="V71" s="7"/>
      <c r="W71" s="7"/>
      <c r="X71" s="7"/>
      <c r="Y71" s="7"/>
      <c r="Z71" s="7"/>
      <c r="AB71" s="7">
        <v>0</v>
      </c>
      <c r="AC71" s="7"/>
      <c r="AD71" s="7"/>
      <c r="AE71" s="7"/>
    </row>
    <row r="72" spans="1:31" ht="19.2" x14ac:dyDescent="0.35">
      <c r="A72" s="8">
        <v>67</v>
      </c>
      <c r="B72" s="9" t="s">
        <v>193</v>
      </c>
      <c r="C72" s="10">
        <f t="shared" si="0"/>
        <v>13.155555555555557</v>
      </c>
      <c r="D72" s="6">
        <v>6</v>
      </c>
      <c r="E72" s="6" t="s">
        <v>15</v>
      </c>
      <c r="F72" s="11">
        <f t="shared" si="1"/>
        <v>7.0622222222222231</v>
      </c>
      <c r="G72" s="10" t="s">
        <v>15</v>
      </c>
      <c r="H72" s="10">
        <f t="shared" si="2"/>
        <v>4.2373333333333338</v>
      </c>
      <c r="I72" s="10" t="s">
        <v>15</v>
      </c>
      <c r="J72" s="6" t="str">
        <f t="shared" si="3"/>
        <v>REPROVADO</v>
      </c>
      <c r="K72" s="7">
        <v>10</v>
      </c>
      <c r="L72" s="7">
        <f>4*3.35</f>
        <v>13.4</v>
      </c>
      <c r="M72" s="7">
        <v>15</v>
      </c>
      <c r="N72" s="7">
        <v>0</v>
      </c>
      <c r="O72" s="7">
        <v>0</v>
      </c>
      <c r="P72" s="7">
        <v>20</v>
      </c>
      <c r="Q72" s="7">
        <v>20</v>
      </c>
      <c r="R72" s="7">
        <v>20</v>
      </c>
      <c r="S72" s="7">
        <v>20</v>
      </c>
      <c r="T72" s="7"/>
      <c r="U72" s="7"/>
      <c r="V72" s="7"/>
      <c r="W72" s="7"/>
      <c r="X72" s="7"/>
      <c r="Y72" s="7"/>
      <c r="Z72" s="7"/>
      <c r="AB72" s="7">
        <v>0</v>
      </c>
      <c r="AC72" s="7"/>
      <c r="AD72" s="7"/>
      <c r="AE72" s="7"/>
    </row>
    <row r="73" spans="1:31" ht="19.2" x14ac:dyDescent="0.35">
      <c r="A73" s="8">
        <v>68</v>
      </c>
      <c r="B73" s="9" t="s">
        <v>194</v>
      </c>
      <c r="C73" s="10">
        <f t="shared" si="0"/>
        <v>12.888888888888889</v>
      </c>
      <c r="D73" s="6">
        <v>3</v>
      </c>
      <c r="E73" s="6">
        <v>12.5</v>
      </c>
      <c r="F73" s="11">
        <f t="shared" si="1"/>
        <v>9.8055555555555554</v>
      </c>
      <c r="G73" s="10">
        <v>8</v>
      </c>
      <c r="H73" s="10">
        <f t="shared" si="2"/>
        <v>9.0833333333333321</v>
      </c>
      <c r="I73" s="12">
        <v>9</v>
      </c>
      <c r="J73" s="6" t="str">
        <f t="shared" si="3"/>
        <v>APROVADO</v>
      </c>
      <c r="K73" s="7">
        <v>0</v>
      </c>
      <c r="L73" s="7">
        <f>4*0.5</f>
        <v>2</v>
      </c>
      <c r="M73" s="7">
        <v>15</v>
      </c>
      <c r="N73" s="7">
        <v>19</v>
      </c>
      <c r="O73" s="7">
        <v>0</v>
      </c>
      <c r="P73" s="7">
        <v>20</v>
      </c>
      <c r="Q73" s="7">
        <v>20</v>
      </c>
      <c r="R73" s="7">
        <v>20</v>
      </c>
      <c r="S73" s="7">
        <v>20</v>
      </c>
      <c r="T73" s="7"/>
      <c r="U73" s="7"/>
      <c r="V73" s="7"/>
      <c r="W73" s="7"/>
      <c r="X73" s="7"/>
      <c r="Y73" s="7"/>
      <c r="Z73" s="7"/>
      <c r="AB73" s="7">
        <v>0</v>
      </c>
      <c r="AC73" s="7"/>
      <c r="AD73" s="7"/>
      <c r="AE73" s="7"/>
    </row>
    <row r="74" spans="1:31" ht="19.2" x14ac:dyDescent="0.35">
      <c r="A74" s="8">
        <v>69</v>
      </c>
      <c r="B74" s="9" t="s">
        <v>195</v>
      </c>
      <c r="C74" s="10">
        <f t="shared" si="0"/>
        <v>13.777777777777779</v>
      </c>
      <c r="D74" s="6">
        <v>3</v>
      </c>
      <c r="E74" s="6">
        <v>10</v>
      </c>
      <c r="F74" s="11">
        <f t="shared" si="1"/>
        <v>9.4111111111111114</v>
      </c>
      <c r="G74" s="10">
        <v>2</v>
      </c>
      <c r="H74" s="10">
        <f t="shared" si="2"/>
        <v>6.4466666666666663</v>
      </c>
      <c r="I74" s="12">
        <v>9</v>
      </c>
      <c r="J74" s="6" t="str">
        <f t="shared" si="3"/>
        <v>APROVADO</v>
      </c>
      <c r="K74" s="7">
        <v>3</v>
      </c>
      <c r="L74" s="7">
        <v>8</v>
      </c>
      <c r="M74" s="7">
        <v>15</v>
      </c>
      <c r="N74" s="7">
        <v>4</v>
      </c>
      <c r="O74" s="7">
        <v>14</v>
      </c>
      <c r="P74" s="7">
        <v>20</v>
      </c>
      <c r="Q74" s="7">
        <v>20</v>
      </c>
      <c r="R74" s="7">
        <v>20</v>
      </c>
      <c r="S74" s="7">
        <v>20</v>
      </c>
      <c r="T74" s="7"/>
      <c r="U74" s="7"/>
      <c r="V74" s="7"/>
      <c r="W74" s="7"/>
      <c r="X74" s="7"/>
      <c r="Y74" s="7"/>
      <c r="Z74" s="7"/>
      <c r="AB74" s="7">
        <v>0</v>
      </c>
      <c r="AC74" s="7"/>
      <c r="AD74" s="7"/>
      <c r="AE74" s="7"/>
    </row>
    <row r="75" spans="1:31" ht="19.2" x14ac:dyDescent="0.35">
      <c r="A75" s="8">
        <v>70</v>
      </c>
      <c r="B75" s="9" t="s">
        <v>196</v>
      </c>
      <c r="C75" s="10">
        <f t="shared" si="0"/>
        <v>15.688888888888888</v>
      </c>
      <c r="D75" s="6">
        <v>11</v>
      </c>
      <c r="E75" s="6">
        <v>12.5</v>
      </c>
      <c r="F75" s="11">
        <f t="shared" si="1"/>
        <v>13.325555555555557</v>
      </c>
      <c r="G75" s="10">
        <v>10</v>
      </c>
      <c r="H75" s="10">
        <f t="shared" si="2"/>
        <v>11.995333333333335</v>
      </c>
      <c r="I75" s="10" t="s">
        <v>15</v>
      </c>
      <c r="J75" s="6" t="str">
        <f t="shared" si="3"/>
        <v>APROVADO</v>
      </c>
      <c r="K75" s="7">
        <v>3</v>
      </c>
      <c r="L75" s="7">
        <f>4*3.05</f>
        <v>12.2</v>
      </c>
      <c r="M75" s="7">
        <v>15</v>
      </c>
      <c r="N75" s="7">
        <v>17</v>
      </c>
      <c r="O75" s="7">
        <v>14</v>
      </c>
      <c r="P75" s="7">
        <v>20</v>
      </c>
      <c r="Q75" s="7">
        <v>20</v>
      </c>
      <c r="R75" s="7">
        <v>20</v>
      </c>
      <c r="S75" s="7">
        <v>20</v>
      </c>
      <c r="T75" s="7"/>
      <c r="U75" s="7"/>
      <c r="V75" s="7"/>
      <c r="W75" s="7"/>
      <c r="X75" s="7"/>
      <c r="Y75" s="7"/>
      <c r="Z75" s="7"/>
      <c r="AB75" s="7">
        <v>0</v>
      </c>
      <c r="AC75" s="7"/>
      <c r="AD75" s="7"/>
      <c r="AE75" s="7"/>
    </row>
    <row r="76" spans="1:31" ht="15.75" customHeight="1" x14ac:dyDescent="0.3">
      <c r="A76" s="24"/>
      <c r="B76" s="24"/>
      <c r="C76" s="25"/>
      <c r="D76" s="25"/>
      <c r="E76" s="25"/>
      <c r="F76" s="25" t="s">
        <v>197</v>
      </c>
      <c r="G76" s="25">
        <f>COUNTIF(G6:G75,"&gt;=10")</f>
        <v>14</v>
      </c>
      <c r="H76" s="25"/>
      <c r="I76" s="25" t="s">
        <v>12</v>
      </c>
      <c r="J76" s="33">
        <f>COUNTIF(J6:J75,"Recurso")</f>
        <v>0</v>
      </c>
      <c r="K76" s="25"/>
      <c r="L76" s="25"/>
      <c r="M76" s="25"/>
      <c r="N76" s="25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B76" s="24"/>
      <c r="AC76" s="24"/>
      <c r="AD76" s="24"/>
      <c r="AE76" s="24"/>
    </row>
    <row r="77" spans="1:31" ht="15.75" customHeight="1" x14ac:dyDescent="0.3">
      <c r="A77" s="24"/>
      <c r="B77" s="24"/>
      <c r="C77" s="25"/>
      <c r="D77" s="25"/>
      <c r="E77" s="25"/>
      <c r="F77" s="25"/>
      <c r="G77" s="25"/>
      <c r="H77" s="25"/>
      <c r="I77" s="25" t="s">
        <v>56</v>
      </c>
      <c r="J77" s="25">
        <f>COUNTIF(J6:J75,"APROVADO")</f>
        <v>39</v>
      </c>
      <c r="K77" s="25"/>
      <c r="L77" s="25"/>
      <c r="M77" s="25"/>
      <c r="N77" s="25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B77" s="24"/>
      <c r="AC77" s="24"/>
      <c r="AD77" s="24"/>
      <c r="AE77" s="24"/>
    </row>
    <row r="78" spans="1:31" ht="15.75" customHeight="1" x14ac:dyDescent="0.3">
      <c r="A78" s="24"/>
      <c r="B78" s="24"/>
      <c r="C78" s="25"/>
      <c r="D78" s="25"/>
      <c r="E78" s="25"/>
      <c r="F78" s="25"/>
      <c r="G78" s="25"/>
      <c r="H78" s="25"/>
      <c r="I78" s="25" t="s">
        <v>198</v>
      </c>
      <c r="J78" s="25">
        <f>COUNTIF(J6:J75,"REPROVADO")</f>
        <v>31</v>
      </c>
      <c r="K78" s="25"/>
      <c r="L78" s="25"/>
      <c r="M78" s="25"/>
      <c r="N78" s="25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B78" s="24"/>
      <c r="AC78" s="24"/>
      <c r="AD78" s="24"/>
      <c r="AE78" s="24"/>
    </row>
    <row r="79" spans="1:31" ht="15.75" customHeight="1" x14ac:dyDescent="0.3">
      <c r="A79" s="24"/>
      <c r="B79" s="24" t="s">
        <v>54</v>
      </c>
      <c r="C79" s="25"/>
      <c r="D79" s="25"/>
      <c r="E79" s="25"/>
      <c r="F79" s="25"/>
      <c r="G79" s="25"/>
      <c r="H79" s="25">
        <v>8</v>
      </c>
      <c r="I79" s="25">
        <f>COUNTIF(I6:I75,8)</f>
        <v>5</v>
      </c>
      <c r="J79" s="25"/>
      <c r="K79" s="25"/>
      <c r="L79" s="25"/>
      <c r="M79" s="25"/>
      <c r="N79" s="25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B79" s="24"/>
      <c r="AC79" s="24"/>
      <c r="AD79" s="24"/>
      <c r="AE79" s="24"/>
    </row>
    <row r="80" spans="1:31" ht="15.75" customHeight="1" x14ac:dyDescent="0.3">
      <c r="A80" s="24"/>
      <c r="B80" s="24"/>
      <c r="C80" s="25"/>
      <c r="D80" s="25"/>
      <c r="E80" s="25"/>
      <c r="F80" s="25"/>
      <c r="G80" s="25"/>
      <c r="H80" s="25">
        <v>9</v>
      </c>
      <c r="I80" s="25">
        <f>COUNTIF(I6:I75,9)</f>
        <v>6</v>
      </c>
      <c r="J80" s="25"/>
      <c r="K80" s="25"/>
      <c r="L80" s="25"/>
      <c r="M80" s="25"/>
      <c r="N80" s="25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B80" s="24"/>
      <c r="AC80" s="24"/>
      <c r="AD80" s="24"/>
      <c r="AE80" s="24"/>
    </row>
    <row r="81" spans="1:31" ht="15.75" customHeight="1" x14ac:dyDescent="0.3">
      <c r="A81" s="24"/>
      <c r="B81" s="24" t="s">
        <v>57</v>
      </c>
      <c r="C81" s="25"/>
      <c r="D81" s="25"/>
      <c r="E81" s="25"/>
      <c r="F81" s="25"/>
      <c r="G81" s="25"/>
      <c r="H81" s="25">
        <v>10</v>
      </c>
      <c r="I81" s="25">
        <f>COUNTIF(I6:I75,10)</f>
        <v>16</v>
      </c>
      <c r="J81" s="25"/>
      <c r="K81" s="25"/>
      <c r="L81" s="25"/>
      <c r="M81" s="25"/>
      <c r="N81" s="25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B81" s="24"/>
      <c r="AC81" s="24"/>
      <c r="AD81" s="24"/>
      <c r="AE81" s="24"/>
    </row>
    <row r="82" spans="1:31" ht="15.75" customHeight="1" x14ac:dyDescent="0.3">
      <c r="A82" s="24"/>
      <c r="B82" s="24"/>
      <c r="C82" s="25"/>
      <c r="D82" s="25"/>
      <c r="E82" s="25"/>
      <c r="F82" s="25"/>
      <c r="G82" s="25"/>
      <c r="H82" s="25" t="s">
        <v>199</v>
      </c>
      <c r="I82" s="25">
        <f>COUNTIF(I6:I75,"&lt;=10")</f>
        <v>42</v>
      </c>
      <c r="J82" s="25"/>
      <c r="K82" s="25"/>
      <c r="L82" s="25"/>
      <c r="M82" s="25"/>
      <c r="N82" s="25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B82" s="24"/>
      <c r="AC82" s="24"/>
      <c r="AD82" s="24"/>
      <c r="AE82" s="24"/>
    </row>
    <row r="83" spans="1:31" ht="15.75" customHeight="1" x14ac:dyDescent="0.3">
      <c r="A83" s="24"/>
      <c r="B83" s="26" t="s">
        <v>58</v>
      </c>
      <c r="C83" s="27"/>
      <c r="D83" s="25"/>
      <c r="E83" s="25"/>
      <c r="F83" s="25"/>
      <c r="G83" s="25"/>
      <c r="H83" s="25" t="s">
        <v>198</v>
      </c>
      <c r="I83" s="25">
        <f>I82-(I79+I80+I81)</f>
        <v>15</v>
      </c>
      <c r="J83" s="25"/>
      <c r="K83" s="25"/>
      <c r="L83" s="25"/>
      <c r="M83" s="25"/>
      <c r="N83" s="25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B83" s="24"/>
      <c r="AC83" s="24"/>
      <c r="AD83" s="24"/>
      <c r="AE83" s="24"/>
    </row>
    <row r="84" spans="1:31" ht="15.75" customHeight="1" x14ac:dyDescent="0.3">
      <c r="A84" s="24"/>
      <c r="B84" s="24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B84" s="24"/>
      <c r="AC84" s="24"/>
      <c r="AD84" s="24"/>
      <c r="AE84" s="24"/>
    </row>
  </sheetData>
  <mergeCells count="4">
    <mergeCell ref="A1:J2"/>
    <mergeCell ref="A3:J4"/>
    <mergeCell ref="K3:Z4"/>
    <mergeCell ref="AB3:AE4"/>
  </mergeCells>
  <conditionalFormatting sqref="C6:J75">
    <cfRule type="cellIs" dxfId="21" priority="6" operator="lessThan">
      <formula>9.5</formula>
    </cfRule>
  </conditionalFormatting>
  <conditionalFormatting sqref="H6:J75">
    <cfRule type="cellIs" dxfId="20" priority="1" operator="lessThan">
      <formula>9.45</formula>
    </cfRule>
  </conditionalFormatting>
  <conditionalFormatting sqref="J6:J75">
    <cfRule type="containsText" dxfId="19" priority="2" operator="containsText" text="Recurso">
      <formula>NOT(ISERROR(SEARCH(("Recurso"),(J6))))</formula>
    </cfRule>
    <cfRule type="containsText" dxfId="18" priority="3" operator="containsText" text="APROVADO">
      <formula>NOT(ISERROR(SEARCH(("APROVADO"),(J6))))</formula>
    </cfRule>
    <cfRule type="containsText" dxfId="17" priority="4" operator="containsText" text="Dispensado">
      <formula>NOT(ISERROR(SEARCH(("Dispensado"),(J6))))</formula>
    </cfRule>
    <cfRule type="containsText" dxfId="16" priority="5" operator="containsText" text="REPROVADO">
      <formula>NOT(ISERROR(SEARCH(("REPROVADO"),(J6))))</formula>
    </cfRule>
  </conditionalFormatting>
  <conditionalFormatting sqref="K6:Z75">
    <cfRule type="cellIs" dxfId="15" priority="7" operator="lessThan">
      <formula>10</formula>
    </cfRule>
  </conditionalFormatting>
  <pageMargins left="0.7" right="0.7" top="0.75" bottom="0.75" header="0" footer="0"/>
  <pageSetup paperSize="9" scale="62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E64"/>
  <sheetViews>
    <sheetView workbookViewId="0">
      <selection sqref="A1:J2"/>
    </sheetView>
  </sheetViews>
  <sheetFormatPr defaultColWidth="11.19921875" defaultRowHeight="15" customHeight="1" x14ac:dyDescent="0.3"/>
  <cols>
    <col min="1" max="1" width="4.09765625" customWidth="1"/>
    <col min="2" max="2" width="41" customWidth="1"/>
    <col min="3" max="3" width="8" customWidth="1"/>
    <col min="4" max="4" width="5.8984375" customWidth="1"/>
    <col min="5" max="5" width="8.59765625" customWidth="1"/>
    <col min="6" max="7" width="7.59765625" customWidth="1"/>
    <col min="8" max="8" width="10" customWidth="1"/>
    <col min="9" max="9" width="8.796875" customWidth="1"/>
    <col min="10" max="10" width="15.59765625" customWidth="1"/>
    <col min="11" max="12" width="4" customWidth="1"/>
    <col min="13" max="13" width="5.796875" customWidth="1"/>
    <col min="14" max="14" width="5.8984375" customWidth="1"/>
    <col min="15" max="15" width="6.09765625" customWidth="1"/>
    <col min="16" max="16" width="4.59765625" customWidth="1"/>
    <col min="17" max="17" width="4.09765625" customWidth="1"/>
    <col min="18" max="18" width="4" customWidth="1"/>
    <col min="19" max="19" width="4.69921875" customWidth="1"/>
    <col min="20" max="20" width="3.8984375" customWidth="1"/>
    <col min="21" max="21" width="6.19921875" customWidth="1"/>
    <col min="22" max="22" width="3.8984375" customWidth="1"/>
    <col min="23" max="23" width="3.69921875" customWidth="1"/>
    <col min="24" max="24" width="4.09765625" customWidth="1"/>
    <col min="25" max="25" width="3.59765625" customWidth="1"/>
    <col min="26" max="27" width="3.69921875" customWidth="1"/>
    <col min="28" max="28" width="3.296875" customWidth="1"/>
    <col min="29" max="29" width="3" customWidth="1"/>
    <col min="30" max="30" width="3.69921875" customWidth="1"/>
    <col min="31" max="31" width="3.59765625" customWidth="1"/>
  </cols>
  <sheetData>
    <row r="1" spans="1:31" ht="36.6" x14ac:dyDescent="0.3">
      <c r="A1" s="50" t="s">
        <v>128</v>
      </c>
      <c r="B1" s="51"/>
      <c r="C1" s="51"/>
      <c r="D1" s="51"/>
      <c r="E1" s="51"/>
      <c r="F1" s="51"/>
      <c r="G1" s="51"/>
      <c r="H1" s="51"/>
      <c r="I1" s="51"/>
      <c r="J1" s="5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6.6" x14ac:dyDescent="0.3">
      <c r="A2" s="52"/>
      <c r="B2" s="53"/>
      <c r="C2" s="53"/>
      <c r="D2" s="53"/>
      <c r="E2" s="53"/>
      <c r="F2" s="53"/>
      <c r="G2" s="53"/>
      <c r="H2" s="53"/>
      <c r="I2" s="53"/>
      <c r="J2" s="5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5.6" x14ac:dyDescent="0.3">
      <c r="A3" s="54" t="s">
        <v>200</v>
      </c>
      <c r="B3" s="51"/>
      <c r="C3" s="51"/>
      <c r="D3" s="51"/>
      <c r="E3" s="51"/>
      <c r="F3" s="51"/>
      <c r="G3" s="51"/>
      <c r="H3" s="51"/>
      <c r="I3" s="51"/>
      <c r="J3" s="51"/>
      <c r="K3" s="55" t="s">
        <v>2</v>
      </c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7"/>
      <c r="AB3" s="61" t="s">
        <v>3</v>
      </c>
      <c r="AC3" s="56"/>
      <c r="AD3" s="56"/>
      <c r="AE3" s="57"/>
    </row>
    <row r="4" spans="1:31" ht="15.6" x14ac:dyDescent="0.3">
      <c r="A4" s="52"/>
      <c r="B4" s="53"/>
      <c r="C4" s="53"/>
      <c r="D4" s="53"/>
      <c r="E4" s="53"/>
      <c r="F4" s="53"/>
      <c r="G4" s="53"/>
      <c r="H4" s="53"/>
      <c r="I4" s="53"/>
      <c r="J4" s="53"/>
      <c r="K4" s="58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60"/>
      <c r="AB4" s="58"/>
      <c r="AC4" s="59"/>
      <c r="AD4" s="59"/>
      <c r="AE4" s="60"/>
    </row>
    <row r="5" spans="1:31" ht="18" x14ac:dyDescent="0.3">
      <c r="A5" s="3" t="s">
        <v>4</v>
      </c>
      <c r="B5" s="4" t="s">
        <v>5</v>
      </c>
      <c r="C5" s="5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40">
        <v>1</v>
      </c>
      <c r="L5" s="41">
        <v>2</v>
      </c>
      <c r="M5" s="41">
        <v>3</v>
      </c>
      <c r="N5" s="40">
        <v>4</v>
      </c>
      <c r="O5" s="41">
        <v>5</v>
      </c>
      <c r="P5" s="40">
        <v>6</v>
      </c>
      <c r="Q5" s="41">
        <v>7</v>
      </c>
      <c r="R5" s="40">
        <v>8</v>
      </c>
      <c r="S5" s="41">
        <v>9</v>
      </c>
      <c r="T5" s="40">
        <v>10</v>
      </c>
      <c r="U5" s="41">
        <v>11</v>
      </c>
      <c r="V5" s="40">
        <v>12</v>
      </c>
      <c r="W5" s="41">
        <v>13</v>
      </c>
      <c r="X5" s="40">
        <v>14</v>
      </c>
      <c r="Y5" s="41">
        <v>15</v>
      </c>
      <c r="Z5" s="40">
        <v>16</v>
      </c>
      <c r="AB5" s="7">
        <v>1</v>
      </c>
      <c r="AC5" s="7">
        <v>2</v>
      </c>
      <c r="AD5" s="7">
        <v>3</v>
      </c>
      <c r="AE5" s="7">
        <v>4</v>
      </c>
    </row>
    <row r="6" spans="1:31" ht="19.2" x14ac:dyDescent="0.35">
      <c r="A6" s="8">
        <v>1</v>
      </c>
      <c r="B6" s="9" t="s">
        <v>130</v>
      </c>
      <c r="C6" s="10">
        <f t="shared" ref="C6:C33" si="0">SUM(K6:Z6)/COUNT(K6:Z6)</f>
        <v>0.9285714285714286</v>
      </c>
      <c r="D6" s="6">
        <v>10</v>
      </c>
      <c r="E6" s="6">
        <v>1</v>
      </c>
      <c r="F6" s="11">
        <f t="shared" ref="F6:F55" si="1">IF(OR(AND(D6="P",E6="P"),AND(D6="p",E6="p")),0,0.4*C6+0.6*AVERAGE(IF(D6="F",0,D6),IF(E6="F",0,E6)))</f>
        <v>3.6714285714285713</v>
      </c>
      <c r="G6" s="10" t="s">
        <v>15</v>
      </c>
      <c r="H6" s="10">
        <f t="shared" ref="H6:H55" si="2">IF(OR(AND(D6="P",E6="P"),AND(D6="p",E6="p")),IF(G6="F",0,G6),IF(G6="","",IF(G6="F",IF(F6&gt;12.45,F6,F6*0.6),F6*0.6+G6*0.4)))</f>
        <v>2.2028571428571428</v>
      </c>
      <c r="I6" s="10"/>
      <c r="J6" s="6" t="str">
        <f t="shared" ref="J6:J55" si="3">IF(OR(F6&gt;=6.5,OR(AND(D6="P",E6="P"),AND(D6="p",E6="p"))),IF(AND(F6&gt;=13.5,D6&gt;=10,E6&gt;=10),"Dispensado",IF(H6="","EXAME",IF(H6&gt;9.44,"APROVADO",IF(I6="","Recurso",IF(OR(I6=9,I6=10,I6=8),"APROVADO","REPROVADO"))))),"REPROVADO")</f>
        <v>REPROVADO</v>
      </c>
      <c r="K6" s="7">
        <v>0</v>
      </c>
      <c r="L6" s="7">
        <v>0</v>
      </c>
      <c r="M6" s="7">
        <v>0</v>
      </c>
      <c r="N6" s="7">
        <v>4</v>
      </c>
      <c r="O6" s="7">
        <v>0</v>
      </c>
      <c r="P6" s="7">
        <v>4</v>
      </c>
      <c r="Q6" s="7">
        <v>0</v>
      </c>
      <c r="R6" s="7">
        <v>0</v>
      </c>
      <c r="S6" s="7">
        <v>5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/>
      <c r="Z6" s="7"/>
      <c r="AB6" s="7">
        <v>0</v>
      </c>
      <c r="AC6" s="7"/>
      <c r="AD6" s="7"/>
      <c r="AE6" s="7"/>
    </row>
    <row r="7" spans="1:31" ht="19.2" x14ac:dyDescent="0.35">
      <c r="A7" s="8">
        <v>2</v>
      </c>
      <c r="B7" s="9" t="s">
        <v>131</v>
      </c>
      <c r="C7" s="10">
        <f t="shared" si="0"/>
        <v>2.3571428571428572</v>
      </c>
      <c r="D7" s="6">
        <v>20</v>
      </c>
      <c r="E7" s="6">
        <v>9.25</v>
      </c>
      <c r="F7" s="11">
        <f t="shared" si="1"/>
        <v>9.7178571428571434</v>
      </c>
      <c r="G7" s="10" t="s">
        <v>15</v>
      </c>
      <c r="H7" s="10">
        <f t="shared" si="2"/>
        <v>5.8307142857142855</v>
      </c>
      <c r="I7" s="10"/>
      <c r="J7" s="6" t="str">
        <f t="shared" si="3"/>
        <v>Recurso</v>
      </c>
      <c r="K7" s="7">
        <v>13</v>
      </c>
      <c r="L7" s="7">
        <v>0</v>
      </c>
      <c r="M7" s="7">
        <v>0</v>
      </c>
      <c r="N7" s="7">
        <v>7</v>
      </c>
      <c r="O7" s="7">
        <v>0</v>
      </c>
      <c r="P7" s="7">
        <v>0</v>
      </c>
      <c r="Q7" s="7">
        <v>13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/>
      <c r="Z7" s="7"/>
      <c r="AB7" s="7">
        <v>0</v>
      </c>
      <c r="AC7" s="7"/>
      <c r="AD7" s="7"/>
      <c r="AE7" s="7"/>
    </row>
    <row r="8" spans="1:31" ht="19.2" x14ac:dyDescent="0.35">
      <c r="A8" s="8">
        <v>3</v>
      </c>
      <c r="B8" s="9" t="s">
        <v>133</v>
      </c>
      <c r="C8" s="10">
        <f t="shared" si="0"/>
        <v>3.5</v>
      </c>
      <c r="D8" s="6">
        <v>10</v>
      </c>
      <c r="E8" s="6">
        <v>2</v>
      </c>
      <c r="F8" s="11">
        <f t="shared" si="1"/>
        <v>5</v>
      </c>
      <c r="G8" s="10" t="s">
        <v>15</v>
      </c>
      <c r="H8" s="10">
        <f t="shared" si="2"/>
        <v>3</v>
      </c>
      <c r="I8" s="10"/>
      <c r="J8" s="6" t="str">
        <f t="shared" si="3"/>
        <v>REPROVADO</v>
      </c>
      <c r="K8" s="7">
        <v>0</v>
      </c>
      <c r="L8" s="7">
        <v>0</v>
      </c>
      <c r="M8" s="7">
        <v>0</v>
      </c>
      <c r="N8" s="7">
        <v>4</v>
      </c>
      <c r="O8" s="7">
        <v>13</v>
      </c>
      <c r="P8" s="7">
        <v>0</v>
      </c>
      <c r="Q8" s="7">
        <v>13</v>
      </c>
      <c r="R8" s="7">
        <v>0</v>
      </c>
      <c r="S8" s="7">
        <v>5</v>
      </c>
      <c r="T8" s="7">
        <v>0</v>
      </c>
      <c r="U8" s="7">
        <v>0</v>
      </c>
      <c r="V8" s="7">
        <v>14</v>
      </c>
      <c r="W8" s="7">
        <v>0</v>
      </c>
      <c r="X8" s="7">
        <v>0</v>
      </c>
      <c r="Y8" s="7"/>
      <c r="Z8" s="7"/>
      <c r="AB8" s="7">
        <v>0</v>
      </c>
      <c r="AC8" s="7"/>
      <c r="AD8" s="7"/>
      <c r="AE8" s="7"/>
    </row>
    <row r="9" spans="1:31" ht="19.2" x14ac:dyDescent="0.35">
      <c r="A9" s="8">
        <v>4</v>
      </c>
      <c r="B9" s="9" t="s">
        <v>134</v>
      </c>
      <c r="C9" s="10">
        <f t="shared" si="0"/>
        <v>4.2321428571428568</v>
      </c>
      <c r="D9" s="6">
        <v>15</v>
      </c>
      <c r="E9" s="6">
        <v>8</v>
      </c>
      <c r="F9" s="11">
        <f t="shared" si="1"/>
        <v>8.5928571428571416</v>
      </c>
      <c r="G9" s="42">
        <f>9+1.8</f>
        <v>10.8</v>
      </c>
      <c r="H9" s="10">
        <f t="shared" si="2"/>
        <v>9.475714285714286</v>
      </c>
      <c r="I9" s="10"/>
      <c r="J9" s="6" t="str">
        <f t="shared" si="3"/>
        <v>APROVADO</v>
      </c>
      <c r="K9" s="7">
        <v>0</v>
      </c>
      <c r="L9" s="7">
        <v>0</v>
      </c>
      <c r="M9" s="7">
        <v>0</v>
      </c>
      <c r="N9" s="7">
        <v>8</v>
      </c>
      <c r="O9" s="7">
        <v>13</v>
      </c>
      <c r="P9" s="7">
        <v>0</v>
      </c>
      <c r="Q9" s="7">
        <v>0</v>
      </c>
      <c r="R9" s="7">
        <v>0</v>
      </c>
      <c r="S9" s="7">
        <f>4*1.25</f>
        <v>5</v>
      </c>
      <c r="T9" s="7">
        <v>0</v>
      </c>
      <c r="U9" s="7">
        <v>12.25</v>
      </c>
      <c r="V9" s="7">
        <v>14</v>
      </c>
      <c r="W9" s="7">
        <v>7</v>
      </c>
      <c r="X9" s="7">
        <v>0</v>
      </c>
      <c r="Y9" s="7"/>
      <c r="Z9" s="7"/>
      <c r="AB9" s="7">
        <v>0</v>
      </c>
      <c r="AC9" s="7"/>
      <c r="AD9" s="7"/>
      <c r="AE9" s="7"/>
    </row>
    <row r="10" spans="1:31" ht="19.2" x14ac:dyDescent="0.35">
      <c r="A10" s="8">
        <v>5</v>
      </c>
      <c r="B10" s="9" t="s">
        <v>201</v>
      </c>
      <c r="C10" s="10">
        <f t="shared" si="0"/>
        <v>11.328571428571427</v>
      </c>
      <c r="D10" s="6">
        <v>0</v>
      </c>
      <c r="E10" s="6">
        <v>7</v>
      </c>
      <c r="F10" s="11">
        <f t="shared" si="1"/>
        <v>6.6314285714285717</v>
      </c>
      <c r="G10" s="37">
        <v>13.75</v>
      </c>
      <c r="H10" s="10">
        <f t="shared" si="2"/>
        <v>9.4788571428571426</v>
      </c>
      <c r="I10" s="10"/>
      <c r="J10" s="6" t="str">
        <f t="shared" si="3"/>
        <v>APROVADO</v>
      </c>
      <c r="K10" s="7">
        <v>13</v>
      </c>
      <c r="L10" s="43">
        <v>20</v>
      </c>
      <c r="M10" s="43">
        <v>20</v>
      </c>
      <c r="N10" s="7">
        <v>8</v>
      </c>
      <c r="O10" s="7">
        <v>13</v>
      </c>
      <c r="P10" s="7">
        <f>4*1.8</f>
        <v>7.2</v>
      </c>
      <c r="Q10" s="7">
        <v>13</v>
      </c>
      <c r="R10" s="7">
        <f>4*1.2</f>
        <v>4.8</v>
      </c>
      <c r="S10" s="7">
        <f>4*1.9</f>
        <v>7.6</v>
      </c>
      <c r="T10" s="43">
        <v>20</v>
      </c>
      <c r="U10" s="7">
        <v>7</v>
      </c>
      <c r="V10" s="43">
        <v>20</v>
      </c>
      <c r="W10" s="7">
        <v>5</v>
      </c>
      <c r="X10" s="7">
        <v>0</v>
      </c>
      <c r="Y10" s="7"/>
      <c r="Z10" s="7"/>
      <c r="AB10" s="7">
        <v>0</v>
      </c>
      <c r="AC10" s="7"/>
      <c r="AD10" s="7"/>
      <c r="AE10" s="7"/>
    </row>
    <row r="11" spans="1:31" ht="19.2" x14ac:dyDescent="0.35">
      <c r="A11" s="8">
        <v>6</v>
      </c>
      <c r="B11" s="9" t="s">
        <v>137</v>
      </c>
      <c r="C11" s="10">
        <f t="shared" si="0"/>
        <v>3.7321428571428572</v>
      </c>
      <c r="D11" s="6">
        <v>15</v>
      </c>
      <c r="E11" s="6">
        <v>11</v>
      </c>
      <c r="F11" s="11">
        <f t="shared" si="1"/>
        <v>9.2928571428571427</v>
      </c>
      <c r="G11" s="10" t="s">
        <v>15</v>
      </c>
      <c r="H11" s="10">
        <f t="shared" si="2"/>
        <v>5.5757142857142856</v>
      </c>
      <c r="I11" s="10"/>
      <c r="J11" s="6" t="str">
        <f t="shared" si="3"/>
        <v>Recurso</v>
      </c>
      <c r="K11" s="7">
        <v>13</v>
      </c>
      <c r="L11" s="7">
        <v>0</v>
      </c>
      <c r="M11" s="7">
        <v>0</v>
      </c>
      <c r="N11" s="7">
        <v>0</v>
      </c>
      <c r="O11" s="7">
        <v>13</v>
      </c>
      <c r="P11" s="7">
        <v>0</v>
      </c>
      <c r="Q11" s="7">
        <v>0</v>
      </c>
      <c r="R11" s="7">
        <v>0</v>
      </c>
      <c r="S11" s="7">
        <f>4*1.5</f>
        <v>6</v>
      </c>
      <c r="T11" s="7">
        <v>14</v>
      </c>
      <c r="U11" s="7">
        <v>6.25</v>
      </c>
      <c r="V11" s="7">
        <v>0</v>
      </c>
      <c r="W11" s="7">
        <v>0</v>
      </c>
      <c r="X11" s="7">
        <v>0</v>
      </c>
      <c r="Y11" s="7"/>
      <c r="Z11" s="7"/>
      <c r="AB11" s="7">
        <v>0</v>
      </c>
      <c r="AC11" s="7"/>
      <c r="AD11" s="7"/>
      <c r="AE11" s="7"/>
    </row>
    <row r="12" spans="1:31" ht="19.2" x14ac:dyDescent="0.35">
      <c r="A12" s="8">
        <v>7</v>
      </c>
      <c r="B12" s="9" t="s">
        <v>202</v>
      </c>
      <c r="C12" s="10">
        <f t="shared" si="0"/>
        <v>2.7857142857142856</v>
      </c>
      <c r="D12" s="6" t="s">
        <v>61</v>
      </c>
      <c r="E12" s="6" t="s">
        <v>61</v>
      </c>
      <c r="F12" s="11">
        <f t="shared" si="1"/>
        <v>0</v>
      </c>
      <c r="G12" s="10">
        <v>2.25</v>
      </c>
      <c r="H12" s="10">
        <f t="shared" si="2"/>
        <v>2.25</v>
      </c>
      <c r="I12" s="10"/>
      <c r="J12" s="6" t="str">
        <f t="shared" si="3"/>
        <v>Recurso</v>
      </c>
      <c r="K12" s="7">
        <v>0</v>
      </c>
      <c r="L12" s="7">
        <v>0</v>
      </c>
      <c r="M12" s="7">
        <v>0</v>
      </c>
      <c r="N12" s="7">
        <v>0</v>
      </c>
      <c r="O12" s="7">
        <v>13</v>
      </c>
      <c r="P12" s="7">
        <v>0</v>
      </c>
      <c r="Q12" s="7">
        <v>0</v>
      </c>
      <c r="R12" s="7">
        <v>4</v>
      </c>
      <c r="S12" s="7">
        <v>0</v>
      </c>
      <c r="T12" s="7">
        <v>0</v>
      </c>
      <c r="U12" s="7">
        <v>4</v>
      </c>
      <c r="V12" s="7">
        <v>14</v>
      </c>
      <c r="W12" s="7">
        <v>4</v>
      </c>
      <c r="X12" s="7">
        <v>0</v>
      </c>
      <c r="Y12" s="7"/>
      <c r="Z12" s="7"/>
      <c r="AB12" s="7"/>
      <c r="AC12" s="7"/>
      <c r="AD12" s="7"/>
      <c r="AE12" s="7"/>
    </row>
    <row r="13" spans="1:31" ht="19.2" x14ac:dyDescent="0.35">
      <c r="A13" s="8">
        <v>8</v>
      </c>
      <c r="B13" s="9" t="s">
        <v>203</v>
      </c>
      <c r="C13" s="10">
        <f t="shared" si="0"/>
        <v>2.5607142857142859</v>
      </c>
      <c r="D13" s="6">
        <v>20</v>
      </c>
      <c r="E13" s="6">
        <v>4.25</v>
      </c>
      <c r="F13" s="11">
        <f t="shared" si="1"/>
        <v>8.2992857142857144</v>
      </c>
      <c r="G13" s="10">
        <v>8.25</v>
      </c>
      <c r="H13" s="10">
        <f t="shared" si="2"/>
        <v>8.2795714285714279</v>
      </c>
      <c r="I13" s="10"/>
      <c r="J13" s="6" t="str">
        <f t="shared" si="3"/>
        <v>Recurso</v>
      </c>
      <c r="K13" s="7">
        <v>0</v>
      </c>
      <c r="L13" s="7">
        <v>8</v>
      </c>
      <c r="M13" s="7">
        <v>0</v>
      </c>
      <c r="N13" s="7">
        <v>9</v>
      </c>
      <c r="O13" s="7">
        <v>0</v>
      </c>
      <c r="P13" s="7">
        <v>0</v>
      </c>
      <c r="Q13" s="7">
        <v>0</v>
      </c>
      <c r="R13" s="7">
        <v>4</v>
      </c>
      <c r="S13" s="7">
        <f>4*2.15</f>
        <v>8.6</v>
      </c>
      <c r="T13" s="7">
        <v>0</v>
      </c>
      <c r="U13" s="7">
        <v>6.25</v>
      </c>
      <c r="V13" s="7">
        <v>0</v>
      </c>
      <c r="W13" s="7">
        <v>0</v>
      </c>
      <c r="X13" s="7">
        <v>0</v>
      </c>
      <c r="Y13" s="7"/>
      <c r="Z13" s="7"/>
      <c r="AB13" s="7"/>
      <c r="AC13" s="7"/>
      <c r="AD13" s="7"/>
      <c r="AE13" s="7"/>
    </row>
    <row r="14" spans="1:31" ht="19.2" x14ac:dyDescent="0.35">
      <c r="A14" s="8">
        <v>9</v>
      </c>
      <c r="B14" s="9" t="s">
        <v>140</v>
      </c>
      <c r="C14" s="10">
        <f t="shared" si="0"/>
        <v>2.7142857142857144</v>
      </c>
      <c r="D14" s="6">
        <v>15</v>
      </c>
      <c r="E14" s="6">
        <v>12</v>
      </c>
      <c r="F14" s="11">
        <f t="shared" si="1"/>
        <v>9.1857142857142851</v>
      </c>
      <c r="G14" s="10">
        <v>11.25</v>
      </c>
      <c r="H14" s="10">
        <f t="shared" si="2"/>
        <v>10.011428571428571</v>
      </c>
      <c r="I14" s="10"/>
      <c r="J14" s="6" t="str">
        <f t="shared" si="3"/>
        <v>APROVADO</v>
      </c>
      <c r="K14" s="7">
        <v>0</v>
      </c>
      <c r="L14" s="7">
        <v>0</v>
      </c>
      <c r="M14" s="7">
        <v>0</v>
      </c>
      <c r="N14" s="7">
        <v>0</v>
      </c>
      <c r="O14" s="7">
        <v>13</v>
      </c>
      <c r="P14" s="7">
        <v>0</v>
      </c>
      <c r="Q14" s="7">
        <v>0</v>
      </c>
      <c r="R14" s="7">
        <v>4</v>
      </c>
      <c r="S14" s="7">
        <v>0</v>
      </c>
      <c r="T14" s="7">
        <v>0</v>
      </c>
      <c r="U14" s="7">
        <v>7</v>
      </c>
      <c r="V14" s="7">
        <v>14</v>
      </c>
      <c r="W14" s="7">
        <v>0</v>
      </c>
      <c r="X14" s="7">
        <v>0</v>
      </c>
      <c r="Y14" s="7"/>
      <c r="Z14" s="7"/>
      <c r="AB14" s="7">
        <v>0</v>
      </c>
      <c r="AC14" s="7"/>
      <c r="AD14" s="7"/>
      <c r="AE14" s="7"/>
    </row>
    <row r="15" spans="1:31" ht="19.2" x14ac:dyDescent="0.35">
      <c r="A15" s="8">
        <v>10</v>
      </c>
      <c r="B15" s="9" t="s">
        <v>141</v>
      </c>
      <c r="C15" s="10">
        <f t="shared" si="0"/>
        <v>4.0714285714285712</v>
      </c>
      <c r="D15" s="6">
        <v>5</v>
      </c>
      <c r="E15" s="6">
        <v>12.75</v>
      </c>
      <c r="F15" s="11">
        <f t="shared" si="1"/>
        <v>6.9535714285714292</v>
      </c>
      <c r="G15" s="10">
        <v>7.25</v>
      </c>
      <c r="H15" s="10">
        <f t="shared" si="2"/>
        <v>7.0721428571428575</v>
      </c>
      <c r="I15" s="10"/>
      <c r="J15" s="6" t="str">
        <f t="shared" si="3"/>
        <v>Recurso</v>
      </c>
      <c r="K15" s="7">
        <v>0</v>
      </c>
      <c r="L15" s="7">
        <v>0</v>
      </c>
      <c r="M15" s="7">
        <v>0</v>
      </c>
      <c r="N15" s="7">
        <v>8</v>
      </c>
      <c r="O15" s="7">
        <v>13</v>
      </c>
      <c r="P15" s="7">
        <v>0</v>
      </c>
      <c r="Q15" s="7">
        <v>0</v>
      </c>
      <c r="R15" s="7">
        <v>0</v>
      </c>
      <c r="S15" s="7">
        <v>4</v>
      </c>
      <c r="T15" s="7">
        <v>14</v>
      </c>
      <c r="U15" s="7">
        <v>0</v>
      </c>
      <c r="V15" s="7">
        <v>14</v>
      </c>
      <c r="W15" s="7">
        <v>4</v>
      </c>
      <c r="X15" s="7">
        <v>0</v>
      </c>
      <c r="Y15" s="7"/>
      <c r="Z15" s="7"/>
      <c r="AB15" s="7">
        <v>0</v>
      </c>
      <c r="AC15" s="7"/>
      <c r="AD15" s="7"/>
      <c r="AE15" s="7"/>
    </row>
    <row r="16" spans="1:31" ht="19.2" x14ac:dyDescent="0.35">
      <c r="A16" s="8">
        <v>11</v>
      </c>
      <c r="B16" s="9" t="s">
        <v>142</v>
      </c>
      <c r="C16" s="10">
        <f t="shared" si="0"/>
        <v>2.8571428571428572</v>
      </c>
      <c r="D16" s="6">
        <v>15</v>
      </c>
      <c r="E16" s="6">
        <v>12</v>
      </c>
      <c r="F16" s="11">
        <f t="shared" si="1"/>
        <v>9.242857142857142</v>
      </c>
      <c r="G16" s="10">
        <v>2.25</v>
      </c>
      <c r="H16" s="10">
        <f t="shared" si="2"/>
        <v>6.4457142857142857</v>
      </c>
      <c r="I16" s="10"/>
      <c r="J16" s="6" t="str">
        <f t="shared" si="3"/>
        <v>Recurso</v>
      </c>
      <c r="K16" s="7">
        <v>0</v>
      </c>
      <c r="L16" s="7">
        <v>4</v>
      </c>
      <c r="M16" s="7">
        <v>0</v>
      </c>
      <c r="N16" s="7">
        <v>4</v>
      </c>
      <c r="O16" s="7">
        <v>0</v>
      </c>
      <c r="P16" s="7">
        <v>0</v>
      </c>
      <c r="Q16" s="7">
        <v>0</v>
      </c>
      <c r="R16" s="7">
        <v>0</v>
      </c>
      <c r="S16" s="7">
        <v>4</v>
      </c>
      <c r="T16" s="7">
        <v>14</v>
      </c>
      <c r="U16" s="7">
        <v>0</v>
      </c>
      <c r="V16" s="7">
        <v>14</v>
      </c>
      <c r="W16" s="7">
        <v>0</v>
      </c>
      <c r="X16" s="7">
        <v>0</v>
      </c>
      <c r="Y16" s="7"/>
      <c r="Z16" s="7"/>
      <c r="AB16" s="7">
        <v>0</v>
      </c>
      <c r="AC16" s="7"/>
      <c r="AD16" s="7"/>
      <c r="AE16" s="7"/>
    </row>
    <row r="17" spans="1:31" ht="19.2" x14ac:dyDescent="0.35">
      <c r="A17" s="8">
        <v>12</v>
      </c>
      <c r="B17" s="9" t="s">
        <v>143</v>
      </c>
      <c r="C17" s="10">
        <f t="shared" si="0"/>
        <v>6.7678571428571432</v>
      </c>
      <c r="D17" s="6">
        <v>10</v>
      </c>
      <c r="E17" s="6">
        <v>10.75</v>
      </c>
      <c r="F17" s="11">
        <f t="shared" si="1"/>
        <v>8.9321428571428569</v>
      </c>
      <c r="G17" s="42">
        <f>8.5+1.8</f>
        <v>10.3</v>
      </c>
      <c r="H17" s="10">
        <f t="shared" si="2"/>
        <v>9.4792857142857141</v>
      </c>
      <c r="I17" s="10"/>
      <c r="J17" s="6" t="str">
        <f t="shared" si="3"/>
        <v>APROVADO</v>
      </c>
      <c r="K17" s="7">
        <v>13</v>
      </c>
      <c r="L17" s="7">
        <f>4*3.5</f>
        <v>14</v>
      </c>
      <c r="M17" s="7">
        <v>0</v>
      </c>
      <c r="N17" s="7">
        <v>8</v>
      </c>
      <c r="O17" s="7">
        <v>13</v>
      </c>
      <c r="P17" s="7">
        <v>0</v>
      </c>
      <c r="Q17" s="7">
        <v>13</v>
      </c>
      <c r="R17" s="7">
        <v>0</v>
      </c>
      <c r="S17" s="7">
        <v>6</v>
      </c>
      <c r="T17" s="7">
        <v>0</v>
      </c>
      <c r="U17" s="7">
        <v>8.75</v>
      </c>
      <c r="V17" s="7">
        <v>14</v>
      </c>
      <c r="W17" s="7">
        <v>5</v>
      </c>
      <c r="X17" s="7">
        <v>0</v>
      </c>
      <c r="Y17" s="7"/>
      <c r="Z17" s="7"/>
      <c r="AB17" s="7">
        <v>0</v>
      </c>
      <c r="AC17" s="7"/>
      <c r="AD17" s="7"/>
      <c r="AE17" s="7"/>
    </row>
    <row r="18" spans="1:31" ht="19.2" x14ac:dyDescent="0.35">
      <c r="A18" s="8">
        <v>13</v>
      </c>
      <c r="B18" s="9" t="s">
        <v>144</v>
      </c>
      <c r="C18" s="10">
        <f t="shared" si="0"/>
        <v>0</v>
      </c>
      <c r="D18" s="6">
        <v>5</v>
      </c>
      <c r="E18" s="6" t="s">
        <v>15</v>
      </c>
      <c r="F18" s="11">
        <f t="shared" si="1"/>
        <v>1.5</v>
      </c>
      <c r="G18" s="10" t="s">
        <v>15</v>
      </c>
      <c r="H18" s="10">
        <f t="shared" si="2"/>
        <v>0.89999999999999991</v>
      </c>
      <c r="I18" s="10"/>
      <c r="J18" s="6" t="str">
        <f t="shared" si="3"/>
        <v>REPROVADO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/>
      <c r="Z18" s="7"/>
      <c r="AB18" s="7">
        <v>0</v>
      </c>
      <c r="AC18" s="7"/>
      <c r="AD18" s="7"/>
      <c r="AE18" s="7"/>
    </row>
    <row r="19" spans="1:31" ht="19.2" x14ac:dyDescent="0.35">
      <c r="A19" s="8">
        <v>14</v>
      </c>
      <c r="B19" s="9" t="s">
        <v>145</v>
      </c>
      <c r="C19" s="10">
        <f t="shared" si="0"/>
        <v>7.5428571428571427</v>
      </c>
      <c r="D19" s="6">
        <v>5</v>
      </c>
      <c r="E19" s="6">
        <v>12</v>
      </c>
      <c r="F19" s="11">
        <f t="shared" si="1"/>
        <v>8.1171428571428574</v>
      </c>
      <c r="G19" s="37">
        <v>11.5</v>
      </c>
      <c r="H19" s="10">
        <f t="shared" si="2"/>
        <v>9.4702857142857155</v>
      </c>
      <c r="I19" s="10"/>
      <c r="J19" s="6" t="str">
        <f t="shared" si="3"/>
        <v>APROVADO</v>
      </c>
      <c r="K19" s="7">
        <v>13</v>
      </c>
      <c r="L19" s="7">
        <v>0</v>
      </c>
      <c r="M19" s="7">
        <v>14</v>
      </c>
      <c r="N19" s="7">
        <v>9</v>
      </c>
      <c r="O19" s="7">
        <v>13</v>
      </c>
      <c r="P19" s="7">
        <v>20</v>
      </c>
      <c r="Q19" s="7">
        <v>0</v>
      </c>
      <c r="R19" s="7">
        <v>4</v>
      </c>
      <c r="S19" s="7">
        <f>4*4.4</f>
        <v>17.600000000000001</v>
      </c>
      <c r="T19" s="7">
        <v>0</v>
      </c>
      <c r="U19" s="7">
        <v>7</v>
      </c>
      <c r="V19" s="7">
        <v>0</v>
      </c>
      <c r="W19" s="7">
        <v>8</v>
      </c>
      <c r="X19" s="7">
        <v>0</v>
      </c>
      <c r="Y19" s="7"/>
      <c r="Z19" s="7"/>
      <c r="AB19" s="7">
        <v>0</v>
      </c>
      <c r="AC19" s="7"/>
      <c r="AD19" s="7"/>
      <c r="AE19" s="7"/>
    </row>
    <row r="20" spans="1:31" ht="19.2" x14ac:dyDescent="0.35">
      <c r="A20" s="8">
        <v>15</v>
      </c>
      <c r="B20" s="9" t="s">
        <v>146</v>
      </c>
      <c r="C20" s="10">
        <f t="shared" si="0"/>
        <v>7.8642857142857139</v>
      </c>
      <c r="D20" s="6">
        <v>5</v>
      </c>
      <c r="E20" s="6">
        <v>10.25</v>
      </c>
      <c r="F20" s="11">
        <f t="shared" si="1"/>
        <v>7.7207142857142861</v>
      </c>
      <c r="G20" s="37">
        <v>12.1</v>
      </c>
      <c r="H20" s="10">
        <f t="shared" si="2"/>
        <v>9.472428571428571</v>
      </c>
      <c r="I20" s="10"/>
      <c r="J20" s="6" t="str">
        <f t="shared" si="3"/>
        <v>APROVADO</v>
      </c>
      <c r="K20" s="7">
        <v>13</v>
      </c>
      <c r="L20" s="7">
        <f>4*1.25</f>
        <v>5</v>
      </c>
      <c r="M20" s="7">
        <v>14</v>
      </c>
      <c r="N20" s="7">
        <v>9</v>
      </c>
      <c r="O20" s="7">
        <v>13</v>
      </c>
      <c r="P20" s="7">
        <f>4*2.2</f>
        <v>8.8000000000000007</v>
      </c>
      <c r="Q20" s="7">
        <v>0</v>
      </c>
      <c r="R20" s="7">
        <f>4*1.2</f>
        <v>4.8</v>
      </c>
      <c r="S20" s="7">
        <v>4</v>
      </c>
      <c r="T20" s="7">
        <v>14</v>
      </c>
      <c r="U20" s="7">
        <v>10.5</v>
      </c>
      <c r="V20" s="7">
        <v>14</v>
      </c>
      <c r="W20" s="7">
        <v>0</v>
      </c>
      <c r="X20" s="7">
        <v>0</v>
      </c>
      <c r="Y20" s="7"/>
      <c r="Z20" s="7"/>
      <c r="AB20" s="7">
        <v>0</v>
      </c>
      <c r="AC20" s="7"/>
      <c r="AD20" s="7"/>
      <c r="AE20" s="7"/>
    </row>
    <row r="21" spans="1:31" ht="19.2" x14ac:dyDescent="0.35">
      <c r="A21" s="8">
        <v>16</v>
      </c>
      <c r="B21" s="9" t="s">
        <v>152</v>
      </c>
      <c r="C21" s="10">
        <f t="shared" si="0"/>
        <v>2.2142857142857144</v>
      </c>
      <c r="D21" s="6">
        <v>20</v>
      </c>
      <c r="E21" s="6">
        <v>0</v>
      </c>
      <c r="F21" s="11">
        <f t="shared" si="1"/>
        <v>6.8857142857142861</v>
      </c>
      <c r="G21" s="10">
        <v>3.25</v>
      </c>
      <c r="H21" s="10">
        <f t="shared" si="2"/>
        <v>5.4314285714285715</v>
      </c>
      <c r="I21" s="10"/>
      <c r="J21" s="6" t="str">
        <f t="shared" si="3"/>
        <v>Recurso</v>
      </c>
      <c r="K21" s="7">
        <v>0</v>
      </c>
      <c r="L21" s="7">
        <v>0</v>
      </c>
      <c r="M21" s="7">
        <v>0</v>
      </c>
      <c r="N21" s="7">
        <v>4</v>
      </c>
      <c r="O21" s="7">
        <v>13</v>
      </c>
      <c r="P21" s="7">
        <v>0</v>
      </c>
      <c r="Q21" s="7">
        <v>0</v>
      </c>
      <c r="R21" s="7">
        <v>4</v>
      </c>
      <c r="S21" s="7">
        <v>6</v>
      </c>
      <c r="T21" s="7">
        <v>0</v>
      </c>
      <c r="U21" s="7">
        <v>4</v>
      </c>
      <c r="V21" s="7">
        <v>0</v>
      </c>
      <c r="W21" s="7">
        <v>0</v>
      </c>
      <c r="X21" s="7">
        <v>0</v>
      </c>
      <c r="Y21" s="7"/>
      <c r="Z21" s="7"/>
      <c r="AB21" s="7">
        <v>0</v>
      </c>
      <c r="AC21" s="7"/>
      <c r="AD21" s="7"/>
      <c r="AE21" s="7"/>
    </row>
    <row r="22" spans="1:31" ht="19.2" x14ac:dyDescent="0.35">
      <c r="A22" s="8">
        <v>17</v>
      </c>
      <c r="B22" s="9" t="s">
        <v>156</v>
      </c>
      <c r="C22" s="10">
        <f t="shared" si="0"/>
        <v>2.8714285714285714</v>
      </c>
      <c r="D22" s="6">
        <v>20</v>
      </c>
      <c r="E22" s="6">
        <v>9.25</v>
      </c>
      <c r="F22" s="11">
        <f t="shared" si="1"/>
        <v>9.923571428571428</v>
      </c>
      <c r="G22" s="10">
        <f>6</f>
        <v>6</v>
      </c>
      <c r="H22" s="10">
        <f t="shared" si="2"/>
        <v>8.3541428571428575</v>
      </c>
      <c r="I22" s="10"/>
      <c r="J22" s="6" t="str">
        <f t="shared" si="3"/>
        <v>Recurso</v>
      </c>
      <c r="K22" s="7">
        <v>13</v>
      </c>
      <c r="L22" s="7">
        <v>10</v>
      </c>
      <c r="M22" s="7">
        <v>0</v>
      </c>
      <c r="N22" s="7">
        <f>4*1.25</f>
        <v>5</v>
      </c>
      <c r="O22" s="7">
        <v>0</v>
      </c>
      <c r="P22" s="7">
        <f>4*1.8</f>
        <v>7.2</v>
      </c>
      <c r="Q22" s="7">
        <v>0</v>
      </c>
      <c r="R22" s="7">
        <v>0</v>
      </c>
      <c r="S22" s="7">
        <v>5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/>
      <c r="Z22" s="7"/>
      <c r="AB22" s="7">
        <v>0</v>
      </c>
      <c r="AC22" s="7"/>
      <c r="AD22" s="7"/>
      <c r="AE22" s="7"/>
    </row>
    <row r="23" spans="1:31" ht="19.2" x14ac:dyDescent="0.35">
      <c r="A23" s="8">
        <v>18</v>
      </c>
      <c r="B23" s="9" t="s">
        <v>157</v>
      </c>
      <c r="C23" s="10">
        <f t="shared" si="0"/>
        <v>1</v>
      </c>
      <c r="D23" s="6">
        <v>15</v>
      </c>
      <c r="E23" s="6">
        <v>6.75</v>
      </c>
      <c r="F23" s="11">
        <f t="shared" si="1"/>
        <v>6.9249999999999998</v>
      </c>
      <c r="G23" s="10">
        <v>6.25</v>
      </c>
      <c r="H23" s="10">
        <f t="shared" si="2"/>
        <v>6.6549999999999994</v>
      </c>
      <c r="I23" s="10"/>
      <c r="J23" s="6" t="str">
        <f t="shared" si="3"/>
        <v>Recurso</v>
      </c>
      <c r="K23" s="7">
        <v>0</v>
      </c>
      <c r="L23" s="7">
        <v>0</v>
      </c>
      <c r="M23" s="7">
        <v>0</v>
      </c>
      <c r="N23" s="7">
        <v>8</v>
      </c>
      <c r="O23" s="7">
        <v>0</v>
      </c>
      <c r="P23" s="7">
        <v>0</v>
      </c>
      <c r="Q23" s="7">
        <v>0</v>
      </c>
      <c r="R23" s="7">
        <v>0</v>
      </c>
      <c r="S23" s="7">
        <v>6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/>
      <c r="Z23" s="7"/>
      <c r="AB23" s="7">
        <v>0</v>
      </c>
      <c r="AC23" s="7"/>
      <c r="AD23" s="7"/>
      <c r="AE23" s="7"/>
    </row>
    <row r="24" spans="1:31" ht="19.2" x14ac:dyDescent="0.35">
      <c r="A24" s="8">
        <v>19</v>
      </c>
      <c r="B24" s="34" t="s">
        <v>158</v>
      </c>
      <c r="C24" s="10">
        <f t="shared" si="0"/>
        <v>2.7857142857142856</v>
      </c>
      <c r="D24" s="6">
        <v>0</v>
      </c>
      <c r="E24" s="6">
        <v>6.25</v>
      </c>
      <c r="F24" s="11">
        <f t="shared" si="1"/>
        <v>2.9892857142857143</v>
      </c>
      <c r="G24" s="10" t="s">
        <v>15</v>
      </c>
      <c r="H24" s="10">
        <f t="shared" si="2"/>
        <v>1.7935714285714286</v>
      </c>
      <c r="I24" s="10"/>
      <c r="J24" s="6" t="str">
        <f t="shared" si="3"/>
        <v>REPROVADO</v>
      </c>
      <c r="K24" s="7">
        <v>13</v>
      </c>
      <c r="L24" s="7">
        <v>0</v>
      </c>
      <c r="M24" s="7">
        <v>0</v>
      </c>
      <c r="N24" s="7">
        <v>8</v>
      </c>
      <c r="O24" s="7">
        <v>13</v>
      </c>
      <c r="P24" s="7">
        <v>0</v>
      </c>
      <c r="Q24" s="7">
        <v>0</v>
      </c>
      <c r="R24" s="7">
        <v>0</v>
      </c>
      <c r="S24" s="7">
        <f t="shared" ref="S24:S25" si="4">4*1.25</f>
        <v>5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/>
      <c r="Z24" s="7"/>
      <c r="AB24" s="7">
        <v>0</v>
      </c>
      <c r="AC24" s="7"/>
      <c r="AD24" s="7"/>
      <c r="AE24" s="7"/>
    </row>
    <row r="25" spans="1:31" ht="19.2" x14ac:dyDescent="0.35">
      <c r="A25" s="8">
        <v>20</v>
      </c>
      <c r="B25" s="9" t="s">
        <v>159</v>
      </c>
      <c r="C25" s="10">
        <f t="shared" si="0"/>
        <v>3.6428571428571428</v>
      </c>
      <c r="D25" s="6">
        <v>20</v>
      </c>
      <c r="E25" s="6">
        <v>6.25</v>
      </c>
      <c r="F25" s="11">
        <f t="shared" si="1"/>
        <v>9.3321428571428573</v>
      </c>
      <c r="G25" s="10">
        <v>2.5</v>
      </c>
      <c r="H25" s="10">
        <f t="shared" si="2"/>
        <v>6.5992857142857142</v>
      </c>
      <c r="I25" s="10"/>
      <c r="J25" s="6" t="str">
        <f t="shared" si="3"/>
        <v>Recurso</v>
      </c>
      <c r="K25" s="7">
        <v>13</v>
      </c>
      <c r="L25" s="7">
        <v>0</v>
      </c>
      <c r="M25" s="7">
        <v>14</v>
      </c>
      <c r="N25" s="7">
        <v>5</v>
      </c>
      <c r="O25" s="7">
        <v>0</v>
      </c>
      <c r="P25" s="7">
        <v>0</v>
      </c>
      <c r="Q25" s="7">
        <v>0</v>
      </c>
      <c r="R25" s="7">
        <v>0</v>
      </c>
      <c r="S25" s="7">
        <f t="shared" si="4"/>
        <v>5</v>
      </c>
      <c r="T25" s="7">
        <v>14</v>
      </c>
      <c r="U25" s="7">
        <v>0</v>
      </c>
      <c r="V25" s="7">
        <v>0</v>
      </c>
      <c r="W25" s="7">
        <v>0</v>
      </c>
      <c r="X25" s="7">
        <v>0</v>
      </c>
      <c r="Y25" s="7"/>
      <c r="Z25" s="7"/>
      <c r="AB25" s="7">
        <v>0</v>
      </c>
      <c r="AC25" s="7"/>
      <c r="AD25" s="7"/>
      <c r="AE25" s="7"/>
    </row>
    <row r="26" spans="1:31" ht="19.2" x14ac:dyDescent="0.35">
      <c r="A26" s="8">
        <v>21</v>
      </c>
      <c r="B26" s="9" t="s">
        <v>161</v>
      </c>
      <c r="C26" s="10">
        <f t="shared" si="0"/>
        <v>4.2714285714285714</v>
      </c>
      <c r="D26" s="6">
        <v>15</v>
      </c>
      <c r="E26" s="6">
        <v>8.75</v>
      </c>
      <c r="F26" s="11">
        <f t="shared" si="1"/>
        <v>8.8335714285714282</v>
      </c>
      <c r="G26" s="10">
        <v>10.5</v>
      </c>
      <c r="H26" s="10">
        <f t="shared" si="2"/>
        <v>9.5001428571428566</v>
      </c>
      <c r="I26" s="10"/>
      <c r="J26" s="6" t="str">
        <f t="shared" si="3"/>
        <v>APROVADO</v>
      </c>
      <c r="K26" s="7">
        <v>13</v>
      </c>
      <c r="L26" s="7">
        <v>20</v>
      </c>
      <c r="M26" s="7">
        <v>0</v>
      </c>
      <c r="N26" s="7">
        <v>8</v>
      </c>
      <c r="O26" s="7">
        <v>0</v>
      </c>
      <c r="P26" s="7">
        <f>4*2.2</f>
        <v>8.8000000000000007</v>
      </c>
      <c r="Q26" s="7">
        <v>0</v>
      </c>
      <c r="R26" s="7">
        <v>0</v>
      </c>
      <c r="S26" s="7">
        <v>4</v>
      </c>
      <c r="T26" s="7">
        <v>0</v>
      </c>
      <c r="U26" s="7">
        <v>6</v>
      </c>
      <c r="V26" s="7">
        <v>0</v>
      </c>
      <c r="W26" s="7">
        <v>0</v>
      </c>
      <c r="X26" s="7">
        <v>0</v>
      </c>
      <c r="Y26" s="7"/>
      <c r="Z26" s="7"/>
      <c r="AB26" s="7">
        <v>0</v>
      </c>
      <c r="AC26" s="7"/>
      <c r="AD26" s="7"/>
      <c r="AE26" s="7"/>
    </row>
    <row r="27" spans="1:31" ht="19.2" x14ac:dyDescent="0.35">
      <c r="A27" s="8">
        <v>22</v>
      </c>
      <c r="B27" s="9" t="s">
        <v>162</v>
      </c>
      <c r="C27" s="10">
        <f t="shared" si="0"/>
        <v>8.4464285714285712</v>
      </c>
      <c r="D27" s="6">
        <v>15</v>
      </c>
      <c r="E27" s="6">
        <v>7</v>
      </c>
      <c r="F27" s="11">
        <f t="shared" si="1"/>
        <v>9.9785714285714278</v>
      </c>
      <c r="G27" s="37">
        <v>8.75</v>
      </c>
      <c r="H27" s="10">
        <f t="shared" si="2"/>
        <v>9.4871428571428567</v>
      </c>
      <c r="I27" s="10"/>
      <c r="J27" s="6" t="str">
        <f t="shared" si="3"/>
        <v>APROVADO</v>
      </c>
      <c r="K27" s="7">
        <v>13</v>
      </c>
      <c r="L27" s="7">
        <f>4*1.75</f>
        <v>7</v>
      </c>
      <c r="M27" s="7">
        <v>0</v>
      </c>
      <c r="N27" s="7">
        <v>7</v>
      </c>
      <c r="O27" s="7">
        <v>13</v>
      </c>
      <c r="P27" s="7">
        <v>0</v>
      </c>
      <c r="Q27" s="7">
        <v>13</v>
      </c>
      <c r="R27" s="7">
        <v>0</v>
      </c>
      <c r="S27" s="7">
        <v>5</v>
      </c>
      <c r="T27" s="7">
        <v>20</v>
      </c>
      <c r="U27" s="7">
        <v>19.25</v>
      </c>
      <c r="V27" s="7">
        <v>14</v>
      </c>
      <c r="W27" s="7">
        <v>7</v>
      </c>
      <c r="X27" s="7">
        <v>0</v>
      </c>
      <c r="Y27" s="7"/>
      <c r="Z27" s="7"/>
      <c r="AB27" s="7">
        <v>0</v>
      </c>
      <c r="AC27" s="7"/>
      <c r="AD27" s="7"/>
      <c r="AE27" s="7"/>
    </row>
    <row r="28" spans="1:31" ht="19.2" x14ac:dyDescent="0.35">
      <c r="A28" s="8">
        <v>23</v>
      </c>
      <c r="B28" s="9" t="s">
        <v>204</v>
      </c>
      <c r="C28" s="10">
        <f t="shared" si="0"/>
        <v>0</v>
      </c>
      <c r="D28" s="6" t="s">
        <v>61</v>
      </c>
      <c r="E28" s="6" t="s">
        <v>61</v>
      </c>
      <c r="F28" s="11">
        <f t="shared" si="1"/>
        <v>0</v>
      </c>
      <c r="G28" s="10">
        <v>4</v>
      </c>
      <c r="H28" s="10">
        <f t="shared" si="2"/>
        <v>4</v>
      </c>
      <c r="I28" s="10"/>
      <c r="J28" s="6" t="str">
        <f t="shared" si="3"/>
        <v>Recurso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/>
      <c r="Z28" s="7"/>
      <c r="AB28" s="7"/>
      <c r="AC28" s="7"/>
      <c r="AD28" s="7"/>
      <c r="AE28" s="7"/>
    </row>
    <row r="29" spans="1:31" ht="19.2" x14ac:dyDescent="0.35">
      <c r="A29" s="8">
        <v>24</v>
      </c>
      <c r="B29" s="9" t="s">
        <v>124</v>
      </c>
      <c r="C29" s="10">
        <f t="shared" si="0"/>
        <v>2.8571428571428572</v>
      </c>
      <c r="D29" s="6">
        <v>15</v>
      </c>
      <c r="E29" s="6">
        <v>8.25</v>
      </c>
      <c r="F29" s="11">
        <f t="shared" si="1"/>
        <v>8.117857142857142</v>
      </c>
      <c r="G29" s="10">
        <v>4.25</v>
      </c>
      <c r="H29" s="10">
        <f t="shared" si="2"/>
        <v>6.5707142857142848</v>
      </c>
      <c r="I29" s="10"/>
      <c r="J29" s="6" t="str">
        <f t="shared" si="3"/>
        <v>Recurso</v>
      </c>
      <c r="K29" s="7">
        <v>13</v>
      </c>
      <c r="L29" s="7">
        <v>0</v>
      </c>
      <c r="M29" s="7">
        <v>14</v>
      </c>
      <c r="N29" s="7">
        <v>4</v>
      </c>
      <c r="O29" s="7">
        <v>0</v>
      </c>
      <c r="P29" s="7">
        <v>0</v>
      </c>
      <c r="Q29" s="7">
        <v>0</v>
      </c>
      <c r="R29" s="7">
        <v>0</v>
      </c>
      <c r="S29" s="7">
        <f>1.25*4</f>
        <v>5</v>
      </c>
      <c r="T29" s="7">
        <v>0</v>
      </c>
      <c r="U29" s="7">
        <v>0</v>
      </c>
      <c r="V29" s="7">
        <v>0</v>
      </c>
      <c r="W29" s="7">
        <v>4</v>
      </c>
      <c r="X29" s="7">
        <v>0</v>
      </c>
      <c r="Y29" s="7"/>
      <c r="Z29" s="7"/>
      <c r="AB29" s="7">
        <v>0</v>
      </c>
      <c r="AC29" s="7"/>
      <c r="AD29" s="7"/>
      <c r="AE29" s="7"/>
    </row>
    <row r="30" spans="1:31" ht="19.2" x14ac:dyDescent="0.35">
      <c r="A30" s="8">
        <v>25</v>
      </c>
      <c r="B30" s="9" t="s">
        <v>205</v>
      </c>
      <c r="C30" s="10">
        <f t="shared" si="0"/>
        <v>0.81785714285714284</v>
      </c>
      <c r="D30" s="6" t="s">
        <v>61</v>
      </c>
      <c r="E30" s="6" t="s">
        <v>61</v>
      </c>
      <c r="F30" s="11">
        <f t="shared" si="1"/>
        <v>0</v>
      </c>
      <c r="G30" s="10">
        <v>3</v>
      </c>
      <c r="H30" s="10">
        <f t="shared" si="2"/>
        <v>3</v>
      </c>
      <c r="I30" s="10"/>
      <c r="J30" s="6" t="str">
        <f t="shared" si="3"/>
        <v>Recurso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f>4*1.8</f>
        <v>7.2</v>
      </c>
      <c r="Q30" s="7">
        <v>0</v>
      </c>
      <c r="R30" s="7">
        <v>0</v>
      </c>
      <c r="S30" s="7">
        <v>0</v>
      </c>
      <c r="T30" s="7">
        <v>0</v>
      </c>
      <c r="U30" s="7">
        <f>4+0.25</f>
        <v>4.25</v>
      </c>
      <c r="V30" s="7">
        <v>0</v>
      </c>
      <c r="W30" s="7">
        <v>0</v>
      </c>
      <c r="X30" s="7">
        <v>0</v>
      </c>
      <c r="Y30" s="7"/>
      <c r="Z30" s="7"/>
      <c r="AB30" s="7"/>
      <c r="AC30" s="7"/>
      <c r="AD30" s="7"/>
      <c r="AE30" s="7"/>
    </row>
    <row r="31" spans="1:31" ht="19.2" x14ac:dyDescent="0.35">
      <c r="A31" s="8">
        <v>26</v>
      </c>
      <c r="B31" s="9" t="s">
        <v>167</v>
      </c>
      <c r="C31" s="10">
        <f t="shared" si="0"/>
        <v>0.9285714285714286</v>
      </c>
      <c r="D31" s="6">
        <v>0</v>
      </c>
      <c r="E31" s="6" t="s">
        <v>15</v>
      </c>
      <c r="F31" s="11">
        <f t="shared" si="1"/>
        <v>0.37142857142857144</v>
      </c>
      <c r="G31" s="10" t="s">
        <v>15</v>
      </c>
      <c r="H31" s="10">
        <f t="shared" si="2"/>
        <v>0.22285714285714286</v>
      </c>
      <c r="I31" s="10"/>
      <c r="J31" s="6" t="str">
        <f t="shared" si="3"/>
        <v>REPROVADO</v>
      </c>
      <c r="K31" s="7">
        <v>0</v>
      </c>
      <c r="L31" s="7">
        <v>0</v>
      </c>
      <c r="M31" s="7">
        <v>0</v>
      </c>
      <c r="N31" s="7">
        <v>0</v>
      </c>
      <c r="O31" s="7">
        <v>13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/>
      <c r="Z31" s="7"/>
      <c r="AB31" s="7">
        <v>0</v>
      </c>
      <c r="AC31" s="7"/>
      <c r="AD31" s="7"/>
      <c r="AE31" s="7"/>
    </row>
    <row r="32" spans="1:31" ht="19.2" x14ac:dyDescent="0.35">
      <c r="A32" s="8">
        <v>27</v>
      </c>
      <c r="B32" s="9" t="s">
        <v>168</v>
      </c>
      <c r="C32" s="10">
        <f t="shared" si="0"/>
        <v>6.9285714285714288</v>
      </c>
      <c r="D32" s="6">
        <v>10</v>
      </c>
      <c r="E32" s="6">
        <v>3.75</v>
      </c>
      <c r="F32" s="11">
        <f t="shared" si="1"/>
        <v>6.8964285714285722</v>
      </c>
      <c r="G32" s="10">
        <v>4.5</v>
      </c>
      <c r="H32" s="10">
        <f t="shared" si="2"/>
        <v>5.9378571428571432</v>
      </c>
      <c r="I32" s="10"/>
      <c r="J32" s="6" t="str">
        <f t="shared" si="3"/>
        <v>Recurso</v>
      </c>
      <c r="K32" s="7">
        <v>13</v>
      </c>
      <c r="L32" s="43">
        <v>20</v>
      </c>
      <c r="M32" s="7">
        <v>14</v>
      </c>
      <c r="N32" s="43">
        <v>20</v>
      </c>
      <c r="O32" s="43">
        <v>20</v>
      </c>
      <c r="P32" s="7">
        <v>4</v>
      </c>
      <c r="Q32" s="7">
        <v>0</v>
      </c>
      <c r="R32" s="7">
        <v>0</v>
      </c>
      <c r="S32" s="7">
        <f>4*1.5</f>
        <v>6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/>
      <c r="Z32" s="7"/>
      <c r="AB32" s="7">
        <v>0</v>
      </c>
      <c r="AC32" s="7"/>
      <c r="AD32" s="7"/>
      <c r="AE32" s="7"/>
    </row>
    <row r="33" spans="1:31" ht="19.2" x14ac:dyDescent="0.35">
      <c r="A33" s="8">
        <v>28</v>
      </c>
      <c r="B33" s="9" t="s">
        <v>169</v>
      </c>
      <c r="C33" s="10">
        <f t="shared" si="0"/>
        <v>3.6428571428571428</v>
      </c>
      <c r="D33" s="6">
        <v>20</v>
      </c>
      <c r="E33" s="6">
        <v>6.75</v>
      </c>
      <c r="F33" s="11">
        <f t="shared" si="1"/>
        <v>9.4821428571428577</v>
      </c>
      <c r="G33" s="10">
        <v>9.4499999999999993</v>
      </c>
      <c r="H33" s="10">
        <f t="shared" si="2"/>
        <v>9.4692857142857143</v>
      </c>
      <c r="I33" s="10"/>
      <c r="J33" s="6" t="str">
        <f t="shared" si="3"/>
        <v>APROVADO</v>
      </c>
      <c r="K33" s="7">
        <v>0</v>
      </c>
      <c r="L33" s="7">
        <v>0</v>
      </c>
      <c r="M33" s="7">
        <v>14</v>
      </c>
      <c r="N33" s="7">
        <v>12</v>
      </c>
      <c r="O33" s="7">
        <v>13</v>
      </c>
      <c r="P33" s="7">
        <v>0</v>
      </c>
      <c r="Q33" s="7">
        <v>0</v>
      </c>
      <c r="R33" s="7">
        <v>4</v>
      </c>
      <c r="S33" s="7">
        <v>4</v>
      </c>
      <c r="T33" s="7">
        <v>0</v>
      </c>
      <c r="U33" s="7">
        <v>4</v>
      </c>
      <c r="V33" s="7">
        <v>0</v>
      </c>
      <c r="W33" s="7">
        <v>0</v>
      </c>
      <c r="X33" s="7">
        <v>0</v>
      </c>
      <c r="Y33" s="7"/>
      <c r="Z33" s="7"/>
      <c r="AB33" s="7">
        <v>0</v>
      </c>
      <c r="AC33" s="7"/>
      <c r="AD33" s="7"/>
      <c r="AE33" s="7"/>
    </row>
    <row r="34" spans="1:31" ht="19.2" x14ac:dyDescent="0.35">
      <c r="A34" s="8">
        <v>29</v>
      </c>
      <c r="B34" s="9" t="s">
        <v>206</v>
      </c>
      <c r="C34" s="10">
        <f>SUM(K34:Z34)/COUNT($K$34:$Z$34)</f>
        <v>7.6535714285714294</v>
      </c>
      <c r="D34" s="6">
        <v>15</v>
      </c>
      <c r="E34" s="6">
        <v>15</v>
      </c>
      <c r="F34" s="11">
        <f t="shared" si="1"/>
        <v>12.061428571428571</v>
      </c>
      <c r="G34" s="10">
        <v>8.5</v>
      </c>
      <c r="H34" s="10">
        <f t="shared" si="2"/>
        <v>10.636857142857142</v>
      </c>
      <c r="I34" s="10"/>
      <c r="J34" s="6" t="str">
        <f t="shared" si="3"/>
        <v>APROVADO</v>
      </c>
      <c r="K34" s="7">
        <v>0</v>
      </c>
      <c r="L34" s="7">
        <v>4</v>
      </c>
      <c r="M34" s="7">
        <v>14</v>
      </c>
      <c r="N34" s="7">
        <v>8</v>
      </c>
      <c r="O34" s="7">
        <v>13</v>
      </c>
      <c r="P34" s="7">
        <f>4*1.4</f>
        <v>5.6</v>
      </c>
      <c r="Q34" s="7">
        <v>13</v>
      </c>
      <c r="R34" s="7">
        <f>4*1.2</f>
        <v>4.8</v>
      </c>
      <c r="S34" s="7">
        <v>0</v>
      </c>
      <c r="T34" s="7">
        <v>14</v>
      </c>
      <c r="U34" s="7">
        <v>5.75</v>
      </c>
      <c r="V34" s="7">
        <v>14</v>
      </c>
      <c r="W34" s="7">
        <v>11</v>
      </c>
      <c r="X34" s="7">
        <v>0</v>
      </c>
      <c r="Y34" s="7"/>
      <c r="Z34" s="7"/>
      <c r="AB34" s="7"/>
      <c r="AC34" s="7"/>
      <c r="AD34" s="7"/>
      <c r="AE34" s="7"/>
    </row>
    <row r="35" spans="1:31" ht="19.2" x14ac:dyDescent="0.35">
      <c r="A35" s="8">
        <v>30</v>
      </c>
      <c r="B35" s="9" t="s">
        <v>207</v>
      </c>
      <c r="C35" s="10">
        <f>SUM(K35:Z35)/COUNT($K$35:$Z$35)</f>
        <v>0</v>
      </c>
      <c r="D35" s="6" t="s">
        <v>61</v>
      </c>
      <c r="E35" s="6" t="s">
        <v>61</v>
      </c>
      <c r="F35" s="11">
        <f t="shared" si="1"/>
        <v>0</v>
      </c>
      <c r="G35" s="10">
        <v>3</v>
      </c>
      <c r="H35" s="10">
        <f t="shared" si="2"/>
        <v>3</v>
      </c>
      <c r="I35" s="10"/>
      <c r="J35" s="6" t="str">
        <f t="shared" si="3"/>
        <v>Recurso</v>
      </c>
      <c r="K35" s="7">
        <v>0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>
        <v>0</v>
      </c>
      <c r="Y35" s="7"/>
      <c r="Z35" s="7"/>
      <c r="AB35" s="7"/>
      <c r="AC35" s="7"/>
      <c r="AD35" s="7"/>
      <c r="AE35" s="7"/>
    </row>
    <row r="36" spans="1:31" ht="19.2" x14ac:dyDescent="0.35">
      <c r="A36" s="8">
        <v>31</v>
      </c>
      <c r="B36" s="9" t="s">
        <v>173</v>
      </c>
      <c r="C36" s="10">
        <f t="shared" ref="C36:C55" si="5">SUM(K36:Z36)/COUNT(K36:Z36)</f>
        <v>1.9285714285714286</v>
      </c>
      <c r="D36" s="6">
        <v>15</v>
      </c>
      <c r="E36" s="6">
        <v>9.75</v>
      </c>
      <c r="F36" s="11">
        <f t="shared" si="1"/>
        <v>8.1964285714285712</v>
      </c>
      <c r="G36" s="10">
        <f>9.5+1.9</f>
        <v>11.4</v>
      </c>
      <c r="H36" s="10">
        <f t="shared" si="2"/>
        <v>9.4778571428571432</v>
      </c>
      <c r="I36" s="10"/>
      <c r="J36" s="6" t="str">
        <f t="shared" si="3"/>
        <v>APROVADO</v>
      </c>
      <c r="K36" s="7">
        <v>13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14</v>
      </c>
      <c r="U36" s="7">
        <v>0</v>
      </c>
      <c r="V36" s="7">
        <v>0</v>
      </c>
      <c r="W36" s="7">
        <v>0</v>
      </c>
      <c r="X36" s="7">
        <v>0</v>
      </c>
      <c r="Y36" s="7"/>
      <c r="Z36" s="7"/>
      <c r="AB36" s="7">
        <v>0</v>
      </c>
      <c r="AC36" s="7"/>
      <c r="AD36" s="7"/>
      <c r="AE36" s="7"/>
    </row>
    <row r="37" spans="1:31" ht="19.2" x14ac:dyDescent="0.35">
      <c r="A37" s="8">
        <v>32</v>
      </c>
      <c r="B37" s="9" t="s">
        <v>175</v>
      </c>
      <c r="C37" s="10">
        <f t="shared" si="5"/>
        <v>3.875</v>
      </c>
      <c r="D37" s="6">
        <v>15</v>
      </c>
      <c r="E37" s="6">
        <v>7.75</v>
      </c>
      <c r="F37" s="11">
        <f t="shared" si="1"/>
        <v>8.375</v>
      </c>
      <c r="G37" s="10">
        <f>7.75</f>
        <v>7.75</v>
      </c>
      <c r="H37" s="10">
        <f t="shared" si="2"/>
        <v>8.125</v>
      </c>
      <c r="I37" s="10"/>
      <c r="J37" s="6" t="str">
        <f t="shared" si="3"/>
        <v>Recurso</v>
      </c>
      <c r="K37" s="7">
        <v>13</v>
      </c>
      <c r="L37" s="7">
        <v>0</v>
      </c>
      <c r="M37" s="7">
        <v>14</v>
      </c>
      <c r="N37" s="7">
        <v>8</v>
      </c>
      <c r="O37" s="7">
        <v>13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6.25</v>
      </c>
      <c r="V37" s="7">
        <v>0</v>
      </c>
      <c r="W37" s="7">
        <v>0</v>
      </c>
      <c r="X37" s="7">
        <v>0</v>
      </c>
      <c r="Y37" s="7"/>
      <c r="Z37" s="7"/>
      <c r="AB37" s="7">
        <v>0</v>
      </c>
      <c r="AC37" s="7"/>
      <c r="AD37" s="7"/>
      <c r="AE37" s="7"/>
    </row>
    <row r="38" spans="1:31" ht="19.2" x14ac:dyDescent="0.35">
      <c r="A38" s="8">
        <v>33</v>
      </c>
      <c r="B38" s="34" t="s">
        <v>208</v>
      </c>
      <c r="C38" s="10">
        <f t="shared" si="5"/>
        <v>1.5</v>
      </c>
      <c r="D38" s="6">
        <v>10</v>
      </c>
      <c r="E38" s="6" t="s">
        <v>61</v>
      </c>
      <c r="F38" s="11">
        <f t="shared" si="1"/>
        <v>6.6</v>
      </c>
      <c r="G38" s="10">
        <v>4.75</v>
      </c>
      <c r="H38" s="10">
        <f t="shared" si="2"/>
        <v>5.8599999999999994</v>
      </c>
      <c r="I38" s="10"/>
      <c r="J38" s="6" t="str">
        <f t="shared" si="3"/>
        <v>Recurso</v>
      </c>
      <c r="K38" s="7">
        <v>13</v>
      </c>
      <c r="L38" s="7">
        <v>0</v>
      </c>
      <c r="M38" s="7">
        <v>0</v>
      </c>
      <c r="N38" s="7">
        <v>0</v>
      </c>
      <c r="O38" s="7">
        <v>0</v>
      </c>
      <c r="P38" s="7">
        <v>4</v>
      </c>
      <c r="Q38" s="7">
        <v>0</v>
      </c>
      <c r="R38" s="7">
        <v>0</v>
      </c>
      <c r="S38" s="7">
        <v>4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/>
      <c r="Z38" s="7"/>
      <c r="AB38" s="7"/>
      <c r="AC38" s="7"/>
      <c r="AD38" s="7"/>
      <c r="AE38" s="7"/>
    </row>
    <row r="39" spans="1:31" ht="19.2" x14ac:dyDescent="0.35">
      <c r="A39" s="8">
        <v>34</v>
      </c>
      <c r="B39" s="9" t="s">
        <v>177</v>
      </c>
      <c r="C39" s="10">
        <f t="shared" si="5"/>
        <v>10.953571428571427</v>
      </c>
      <c r="D39" s="6">
        <v>10</v>
      </c>
      <c r="E39" s="6">
        <v>12.25</v>
      </c>
      <c r="F39" s="11">
        <f t="shared" si="1"/>
        <v>11.056428571428571</v>
      </c>
      <c r="G39" s="10">
        <v>11.25</v>
      </c>
      <c r="H39" s="10">
        <f t="shared" si="2"/>
        <v>11.133857142857142</v>
      </c>
      <c r="I39" s="10"/>
      <c r="J39" s="6" t="str">
        <f t="shared" si="3"/>
        <v>APROVADO</v>
      </c>
      <c r="K39" s="7">
        <v>13</v>
      </c>
      <c r="L39" s="7">
        <v>20</v>
      </c>
      <c r="M39" s="7">
        <v>14</v>
      </c>
      <c r="N39" s="7">
        <v>9</v>
      </c>
      <c r="O39" s="7">
        <v>13</v>
      </c>
      <c r="P39" s="7">
        <v>12</v>
      </c>
      <c r="Q39" s="7">
        <v>0</v>
      </c>
      <c r="R39" s="7">
        <v>4</v>
      </c>
      <c r="S39" s="7">
        <f>4*1.9</f>
        <v>7.6</v>
      </c>
      <c r="T39" s="7">
        <v>20</v>
      </c>
      <c r="U39" s="7">
        <v>6.75</v>
      </c>
      <c r="V39" s="7">
        <v>14</v>
      </c>
      <c r="W39" s="7">
        <v>0</v>
      </c>
      <c r="X39" s="7">
        <v>20</v>
      </c>
      <c r="Y39" s="7"/>
      <c r="Z39" s="7"/>
      <c r="AB39" s="7">
        <v>0</v>
      </c>
      <c r="AC39" s="7"/>
      <c r="AD39" s="7"/>
      <c r="AE39" s="7"/>
    </row>
    <row r="40" spans="1:31" ht="19.2" x14ac:dyDescent="0.35">
      <c r="A40" s="8">
        <v>35</v>
      </c>
      <c r="B40" s="9" t="s">
        <v>209</v>
      </c>
      <c r="C40" s="10">
        <f t="shared" si="5"/>
        <v>5.6607142857142856</v>
      </c>
      <c r="D40" s="6">
        <v>10</v>
      </c>
      <c r="E40" s="6">
        <v>4.75</v>
      </c>
      <c r="F40" s="11">
        <f t="shared" si="1"/>
        <v>6.6892857142857141</v>
      </c>
      <c r="G40" s="10">
        <v>4.75</v>
      </c>
      <c r="H40" s="10">
        <f t="shared" si="2"/>
        <v>5.9135714285714283</v>
      </c>
      <c r="I40" s="10"/>
      <c r="J40" s="6" t="str">
        <f t="shared" si="3"/>
        <v>Recurso</v>
      </c>
      <c r="K40" s="43">
        <v>20</v>
      </c>
      <c r="L40" s="43">
        <v>20</v>
      </c>
      <c r="M40" s="43">
        <v>10</v>
      </c>
      <c r="N40" s="7">
        <v>0</v>
      </c>
      <c r="O40" s="7">
        <v>0</v>
      </c>
      <c r="P40" s="7">
        <v>8</v>
      </c>
      <c r="Q40" s="7">
        <v>0</v>
      </c>
      <c r="R40" s="7">
        <v>4</v>
      </c>
      <c r="S40" s="7">
        <v>4</v>
      </c>
      <c r="T40" s="7">
        <v>0</v>
      </c>
      <c r="U40" s="7">
        <v>4.25</v>
      </c>
      <c r="V40" s="7">
        <v>0</v>
      </c>
      <c r="W40" s="7">
        <v>9</v>
      </c>
      <c r="X40" s="7">
        <v>0</v>
      </c>
      <c r="Y40" s="7"/>
      <c r="Z40" s="7"/>
      <c r="AB40" s="7"/>
      <c r="AC40" s="7"/>
      <c r="AD40" s="7"/>
      <c r="AE40" s="7"/>
    </row>
    <row r="41" spans="1:31" ht="19.2" x14ac:dyDescent="0.35">
      <c r="A41" s="8">
        <v>36</v>
      </c>
      <c r="B41" s="9" t="s">
        <v>178</v>
      </c>
      <c r="C41" s="10">
        <f t="shared" si="5"/>
        <v>5.625</v>
      </c>
      <c r="D41" s="6">
        <v>20</v>
      </c>
      <c r="E41" s="6">
        <v>9.5</v>
      </c>
      <c r="F41" s="11">
        <f t="shared" si="1"/>
        <v>11.1</v>
      </c>
      <c r="G41" s="10">
        <v>7.25</v>
      </c>
      <c r="H41" s="10">
        <f t="shared" si="2"/>
        <v>9.5599999999999987</v>
      </c>
      <c r="I41" s="10"/>
      <c r="J41" s="6" t="str">
        <f t="shared" si="3"/>
        <v>APROVADO</v>
      </c>
      <c r="K41" s="7">
        <v>0</v>
      </c>
      <c r="L41" s="7">
        <v>0</v>
      </c>
      <c r="M41" s="7">
        <v>0</v>
      </c>
      <c r="N41" s="7">
        <v>4</v>
      </c>
      <c r="O41" s="7">
        <v>13</v>
      </c>
      <c r="P41" s="7">
        <v>0</v>
      </c>
      <c r="Q41" s="7">
        <v>13</v>
      </c>
      <c r="R41" s="7">
        <v>0</v>
      </c>
      <c r="S41" s="7">
        <v>6</v>
      </c>
      <c r="T41" s="7">
        <v>14</v>
      </c>
      <c r="U41" s="7">
        <v>6.75</v>
      </c>
      <c r="V41" s="7">
        <v>14</v>
      </c>
      <c r="W41" s="7">
        <v>8</v>
      </c>
      <c r="X41" s="7">
        <v>0</v>
      </c>
      <c r="Y41" s="7"/>
      <c r="Z41" s="7"/>
      <c r="AB41" s="7">
        <v>0</v>
      </c>
      <c r="AC41" s="7"/>
      <c r="AD41" s="7"/>
      <c r="AE41" s="7"/>
    </row>
    <row r="42" spans="1:31" ht="19.2" x14ac:dyDescent="0.35">
      <c r="A42" s="8">
        <v>37</v>
      </c>
      <c r="B42" s="9" t="s">
        <v>210</v>
      </c>
      <c r="C42" s="10">
        <f t="shared" si="5"/>
        <v>5.5928571428571425</v>
      </c>
      <c r="D42" s="6">
        <v>15</v>
      </c>
      <c r="E42" s="6">
        <v>4.75</v>
      </c>
      <c r="F42" s="11">
        <f t="shared" si="1"/>
        <v>8.1621428571428574</v>
      </c>
      <c r="G42" s="10">
        <v>5</v>
      </c>
      <c r="H42" s="10">
        <f t="shared" si="2"/>
        <v>6.8972857142857142</v>
      </c>
      <c r="I42" s="10"/>
      <c r="J42" s="6" t="str">
        <f t="shared" si="3"/>
        <v>Recurso</v>
      </c>
      <c r="K42" s="7">
        <v>0</v>
      </c>
      <c r="L42" s="7">
        <v>4</v>
      </c>
      <c r="M42" s="7">
        <v>14</v>
      </c>
      <c r="N42" s="7">
        <v>0</v>
      </c>
      <c r="O42" s="7">
        <v>13</v>
      </c>
      <c r="P42" s="7">
        <v>0</v>
      </c>
      <c r="Q42" s="7">
        <v>13</v>
      </c>
      <c r="R42" s="7">
        <v>4</v>
      </c>
      <c r="S42" s="7">
        <f>4-1.7</f>
        <v>2.2999999999999998</v>
      </c>
      <c r="T42" s="7">
        <v>14</v>
      </c>
      <c r="U42" s="7">
        <v>0</v>
      </c>
      <c r="V42" s="7">
        <v>14</v>
      </c>
      <c r="W42" s="7">
        <v>0</v>
      </c>
      <c r="X42" s="7">
        <v>0</v>
      </c>
      <c r="Y42" s="7"/>
      <c r="Z42" s="7"/>
      <c r="AB42" s="7"/>
      <c r="AC42" s="7"/>
      <c r="AD42" s="7"/>
      <c r="AE42" s="7"/>
    </row>
    <row r="43" spans="1:31" ht="19.2" x14ac:dyDescent="0.35">
      <c r="A43" s="8">
        <v>38</v>
      </c>
      <c r="B43" s="9" t="s">
        <v>179</v>
      </c>
      <c r="C43" s="10">
        <f t="shared" si="5"/>
        <v>2.9285714285714284</v>
      </c>
      <c r="D43" s="6">
        <v>20</v>
      </c>
      <c r="E43" s="6">
        <v>11.25</v>
      </c>
      <c r="F43" s="11">
        <f t="shared" si="1"/>
        <v>10.546428571428571</v>
      </c>
      <c r="G43" s="10">
        <v>3.75</v>
      </c>
      <c r="H43" s="10">
        <f t="shared" si="2"/>
        <v>7.827857142857142</v>
      </c>
      <c r="I43" s="10"/>
      <c r="J43" s="6" t="str">
        <f t="shared" si="3"/>
        <v>Recurso</v>
      </c>
      <c r="K43" s="7">
        <v>0</v>
      </c>
      <c r="L43" s="7">
        <v>0</v>
      </c>
      <c r="M43" s="7">
        <v>0</v>
      </c>
      <c r="N43" s="7">
        <v>6</v>
      </c>
      <c r="O43" s="7">
        <v>0</v>
      </c>
      <c r="P43" s="7">
        <v>0</v>
      </c>
      <c r="Q43" s="7">
        <v>0</v>
      </c>
      <c r="R43" s="7">
        <v>0</v>
      </c>
      <c r="S43" s="7">
        <v>4</v>
      </c>
      <c r="T43" s="7">
        <v>0</v>
      </c>
      <c r="U43" s="7">
        <v>17</v>
      </c>
      <c r="V43" s="7">
        <v>14</v>
      </c>
      <c r="W43" s="7">
        <v>0</v>
      </c>
      <c r="X43" s="7">
        <v>0</v>
      </c>
      <c r="Y43" s="7"/>
      <c r="Z43" s="7"/>
      <c r="AB43" s="7">
        <v>0</v>
      </c>
      <c r="AC43" s="7"/>
      <c r="AD43" s="7"/>
      <c r="AE43" s="7"/>
    </row>
    <row r="44" spans="1:31" ht="19.2" x14ac:dyDescent="0.35">
      <c r="A44" s="8">
        <v>39</v>
      </c>
      <c r="B44" s="9" t="s">
        <v>182</v>
      </c>
      <c r="C44" s="10">
        <f t="shared" si="5"/>
        <v>3.7857142857142856</v>
      </c>
      <c r="D44" s="6">
        <v>10</v>
      </c>
      <c r="E44" s="6">
        <v>8</v>
      </c>
      <c r="F44" s="11">
        <f t="shared" si="1"/>
        <v>6.9142857142857137</v>
      </c>
      <c r="G44" s="10">
        <v>2.75</v>
      </c>
      <c r="H44" s="10">
        <f t="shared" si="2"/>
        <v>5.2485714285714273</v>
      </c>
      <c r="I44" s="10"/>
      <c r="J44" s="6" t="str">
        <f t="shared" si="3"/>
        <v>Recurso</v>
      </c>
      <c r="K44" s="43">
        <v>20</v>
      </c>
      <c r="L44" s="43">
        <v>6</v>
      </c>
      <c r="M44" s="7">
        <v>0</v>
      </c>
      <c r="N44" s="7">
        <v>4</v>
      </c>
      <c r="O44" s="7">
        <v>13</v>
      </c>
      <c r="P44" s="7">
        <v>0</v>
      </c>
      <c r="Q44" s="7">
        <v>0</v>
      </c>
      <c r="R44" s="7">
        <v>0</v>
      </c>
      <c r="S44" s="7">
        <v>6</v>
      </c>
      <c r="T44" s="7">
        <v>0</v>
      </c>
      <c r="U44" s="7">
        <v>0</v>
      </c>
      <c r="V44" s="7">
        <v>0</v>
      </c>
      <c r="W44" s="7">
        <v>4</v>
      </c>
      <c r="X44" s="7">
        <v>0</v>
      </c>
      <c r="Y44" s="7"/>
      <c r="Z44" s="7"/>
      <c r="AB44" s="7">
        <v>0</v>
      </c>
      <c r="AC44" s="7"/>
      <c r="AD44" s="7"/>
      <c r="AE44" s="7"/>
    </row>
    <row r="45" spans="1:31" ht="19.2" x14ac:dyDescent="0.35">
      <c r="A45" s="8">
        <v>40</v>
      </c>
      <c r="B45" s="9" t="s">
        <v>184</v>
      </c>
      <c r="C45" s="10">
        <f t="shared" si="5"/>
        <v>4.6285714285714281</v>
      </c>
      <c r="D45" s="6">
        <v>15</v>
      </c>
      <c r="E45" s="6">
        <v>5.5</v>
      </c>
      <c r="F45" s="11">
        <f t="shared" si="1"/>
        <v>8.0014285714285709</v>
      </c>
      <c r="G45" s="10">
        <v>4.75</v>
      </c>
      <c r="H45" s="10">
        <f t="shared" si="2"/>
        <v>6.7008571428571431</v>
      </c>
      <c r="I45" s="10"/>
      <c r="J45" s="6" t="str">
        <f t="shared" si="3"/>
        <v>Recurso</v>
      </c>
      <c r="K45" s="7">
        <v>13</v>
      </c>
      <c r="L45" s="7">
        <v>0</v>
      </c>
      <c r="M45" s="7">
        <v>0</v>
      </c>
      <c r="N45" s="7">
        <v>8</v>
      </c>
      <c r="O45" s="7">
        <v>13</v>
      </c>
      <c r="P45" s="7">
        <f>4*2.2</f>
        <v>8.8000000000000007</v>
      </c>
      <c r="Q45" s="7">
        <v>0</v>
      </c>
      <c r="R45" s="7">
        <v>0</v>
      </c>
      <c r="S45" s="7">
        <v>4</v>
      </c>
      <c r="T45" s="7">
        <v>0</v>
      </c>
      <c r="U45" s="7">
        <v>0</v>
      </c>
      <c r="V45" s="7">
        <v>14</v>
      </c>
      <c r="W45" s="7">
        <v>4</v>
      </c>
      <c r="X45" s="7">
        <v>0</v>
      </c>
      <c r="Y45" s="7"/>
      <c r="Z45" s="7"/>
      <c r="AB45" s="7">
        <v>0</v>
      </c>
      <c r="AC45" s="7"/>
      <c r="AD45" s="7"/>
      <c r="AE45" s="7"/>
    </row>
    <row r="46" spans="1:31" ht="19.2" x14ac:dyDescent="0.35">
      <c r="A46" s="8">
        <v>41</v>
      </c>
      <c r="B46" s="9" t="s">
        <v>186</v>
      </c>
      <c r="C46" s="10">
        <f t="shared" si="5"/>
        <v>1.2142857142857142</v>
      </c>
      <c r="D46" s="6">
        <v>20</v>
      </c>
      <c r="E46" s="6">
        <v>9.75</v>
      </c>
      <c r="F46" s="11">
        <f t="shared" si="1"/>
        <v>9.4107142857142847</v>
      </c>
      <c r="G46" s="10">
        <v>4.75</v>
      </c>
      <c r="H46" s="10">
        <f t="shared" si="2"/>
        <v>7.5464285714285708</v>
      </c>
      <c r="I46" s="10"/>
      <c r="J46" s="6" t="str">
        <f t="shared" si="3"/>
        <v>Recurso</v>
      </c>
      <c r="K46" s="7">
        <v>0</v>
      </c>
      <c r="L46" s="7">
        <v>0</v>
      </c>
      <c r="M46" s="7">
        <v>0</v>
      </c>
      <c r="N46" s="7">
        <f>1.75*4</f>
        <v>7</v>
      </c>
      <c r="O46" s="7">
        <v>0</v>
      </c>
      <c r="P46" s="7">
        <v>0</v>
      </c>
      <c r="Q46" s="7">
        <v>0</v>
      </c>
      <c r="R46" s="7">
        <v>0</v>
      </c>
      <c r="S46" s="7">
        <v>6</v>
      </c>
      <c r="T46" s="7">
        <v>0</v>
      </c>
      <c r="U46" s="7">
        <v>4</v>
      </c>
      <c r="V46" s="7">
        <v>0</v>
      </c>
      <c r="W46" s="7">
        <v>0</v>
      </c>
      <c r="X46" s="7">
        <v>0</v>
      </c>
      <c r="Y46" s="7"/>
      <c r="Z46" s="7"/>
      <c r="AB46" s="7">
        <v>0</v>
      </c>
      <c r="AC46" s="7"/>
      <c r="AD46" s="7"/>
      <c r="AE46" s="7"/>
    </row>
    <row r="47" spans="1:31" ht="19.2" x14ac:dyDescent="0.35">
      <c r="A47" s="8">
        <v>42</v>
      </c>
      <c r="B47" s="9" t="s">
        <v>211</v>
      </c>
      <c r="C47" s="10">
        <f t="shared" si="5"/>
        <v>3.4464285714285716</v>
      </c>
      <c r="D47" s="6">
        <v>3</v>
      </c>
      <c r="E47" s="6">
        <v>0.75</v>
      </c>
      <c r="F47" s="11">
        <f t="shared" si="1"/>
        <v>2.503571428571429</v>
      </c>
      <c r="G47" s="10" t="s">
        <v>15</v>
      </c>
      <c r="H47" s="10">
        <f t="shared" si="2"/>
        <v>1.5021428571428574</v>
      </c>
      <c r="I47" s="10"/>
      <c r="J47" s="6" t="str">
        <f t="shared" si="3"/>
        <v>REPROVADO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13</v>
      </c>
      <c r="R47" s="7">
        <v>4</v>
      </c>
      <c r="S47" s="7">
        <f>4*1.75</f>
        <v>7</v>
      </c>
      <c r="T47" s="7">
        <v>18</v>
      </c>
      <c r="U47" s="7">
        <v>6.25</v>
      </c>
      <c r="V47" s="7">
        <v>0</v>
      </c>
      <c r="W47" s="7">
        <v>0</v>
      </c>
      <c r="X47" s="7">
        <v>0</v>
      </c>
      <c r="Y47" s="7"/>
      <c r="Z47" s="7"/>
      <c r="AB47" s="7"/>
      <c r="AC47" s="7"/>
      <c r="AD47" s="7"/>
      <c r="AE47" s="7"/>
    </row>
    <row r="48" spans="1:31" ht="19.2" x14ac:dyDescent="0.35">
      <c r="A48" s="8">
        <v>43</v>
      </c>
      <c r="B48" s="9" t="s">
        <v>212</v>
      </c>
      <c r="C48" s="10">
        <f t="shared" si="5"/>
        <v>1.2857142857142858</v>
      </c>
      <c r="D48" s="6" t="s">
        <v>61</v>
      </c>
      <c r="E48" s="6" t="s">
        <v>61</v>
      </c>
      <c r="F48" s="11">
        <f t="shared" si="1"/>
        <v>0</v>
      </c>
      <c r="G48" s="10">
        <v>6</v>
      </c>
      <c r="H48" s="10">
        <f t="shared" si="2"/>
        <v>6</v>
      </c>
      <c r="I48" s="10"/>
      <c r="J48" s="6" t="str">
        <f t="shared" si="3"/>
        <v>Recurso</v>
      </c>
      <c r="K48" s="7">
        <v>0</v>
      </c>
      <c r="L48" s="7">
        <v>0</v>
      </c>
      <c r="M48" s="7">
        <v>0</v>
      </c>
      <c r="N48" s="7">
        <v>1</v>
      </c>
      <c r="O48" s="7">
        <v>13</v>
      </c>
      <c r="P48" s="7">
        <v>0</v>
      </c>
      <c r="Q48" s="7">
        <v>0</v>
      </c>
      <c r="R48" s="7">
        <v>0</v>
      </c>
      <c r="S48" s="7">
        <v>4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/>
      <c r="Z48" s="7"/>
      <c r="AB48" s="7"/>
      <c r="AC48" s="7"/>
      <c r="AD48" s="7"/>
      <c r="AE48" s="7"/>
    </row>
    <row r="49" spans="1:31" ht="19.2" x14ac:dyDescent="0.35">
      <c r="A49" s="8">
        <v>44</v>
      </c>
      <c r="B49" s="9" t="s">
        <v>190</v>
      </c>
      <c r="C49" s="10">
        <f t="shared" si="5"/>
        <v>0.2857142857142857</v>
      </c>
      <c r="D49" s="6">
        <v>10</v>
      </c>
      <c r="E49" s="6">
        <v>6</v>
      </c>
      <c r="F49" s="11">
        <f t="shared" si="1"/>
        <v>4.9142857142857137</v>
      </c>
      <c r="G49" s="10" t="s">
        <v>15</v>
      </c>
      <c r="H49" s="10">
        <f t="shared" si="2"/>
        <v>2.948571428571428</v>
      </c>
      <c r="I49" s="10"/>
      <c r="J49" s="6" t="str">
        <f t="shared" si="3"/>
        <v>REPROVADO</v>
      </c>
      <c r="K49" s="7">
        <v>0</v>
      </c>
      <c r="L49" s="7">
        <v>0</v>
      </c>
      <c r="M49" s="7">
        <v>0</v>
      </c>
      <c r="N49" s="7">
        <v>4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/>
      <c r="Z49" s="7"/>
      <c r="AB49" s="7">
        <v>0</v>
      </c>
      <c r="AC49" s="7"/>
      <c r="AD49" s="7"/>
      <c r="AE49" s="7"/>
    </row>
    <row r="50" spans="1:31" ht="19.2" x14ac:dyDescent="0.35">
      <c r="A50" s="8">
        <v>45</v>
      </c>
      <c r="B50" s="9" t="s">
        <v>191</v>
      </c>
      <c r="C50" s="10">
        <f t="shared" si="5"/>
        <v>5.9857142857142858</v>
      </c>
      <c r="D50" s="6">
        <v>20</v>
      </c>
      <c r="E50" s="6">
        <v>4</v>
      </c>
      <c r="F50" s="11">
        <f t="shared" si="1"/>
        <v>9.5942857142857143</v>
      </c>
      <c r="G50" s="10">
        <v>5</v>
      </c>
      <c r="H50" s="10">
        <f t="shared" si="2"/>
        <v>7.7565714285714282</v>
      </c>
      <c r="I50" s="10"/>
      <c r="J50" s="6" t="str">
        <f t="shared" si="3"/>
        <v>Recurso</v>
      </c>
      <c r="K50" s="7">
        <v>13</v>
      </c>
      <c r="L50" s="7">
        <v>0</v>
      </c>
      <c r="M50" s="7">
        <v>14</v>
      </c>
      <c r="N50" s="7">
        <v>6</v>
      </c>
      <c r="O50" s="7">
        <v>0</v>
      </c>
      <c r="P50" s="7">
        <f>4*4.2</f>
        <v>16.8</v>
      </c>
      <c r="Q50" s="7">
        <v>13</v>
      </c>
      <c r="R50" s="7">
        <v>0</v>
      </c>
      <c r="S50" s="7">
        <v>7</v>
      </c>
      <c r="T50" s="7">
        <v>14</v>
      </c>
      <c r="U50" s="7">
        <v>0</v>
      </c>
      <c r="V50" s="7">
        <v>0</v>
      </c>
      <c r="W50" s="7">
        <v>0</v>
      </c>
      <c r="X50" s="7">
        <v>0</v>
      </c>
      <c r="Y50" s="7"/>
      <c r="Z50" s="7"/>
      <c r="AB50" s="7">
        <v>0</v>
      </c>
      <c r="AC50" s="7"/>
      <c r="AD50" s="7"/>
      <c r="AE50" s="7"/>
    </row>
    <row r="51" spans="1:31" ht="19.2" x14ac:dyDescent="0.35">
      <c r="A51" s="8">
        <v>46</v>
      </c>
      <c r="B51" s="9" t="s">
        <v>192</v>
      </c>
      <c r="C51" s="10">
        <f t="shared" si="5"/>
        <v>5.9142857142857137</v>
      </c>
      <c r="D51" s="6">
        <v>5</v>
      </c>
      <c r="E51" s="6">
        <v>9.75</v>
      </c>
      <c r="F51" s="11">
        <f t="shared" si="1"/>
        <v>6.7907142857142855</v>
      </c>
      <c r="G51" s="10">
        <v>4.5</v>
      </c>
      <c r="H51" s="10">
        <f t="shared" si="2"/>
        <v>5.8744285714285711</v>
      </c>
      <c r="I51" s="10"/>
      <c r="J51" s="6" t="str">
        <f t="shared" si="3"/>
        <v>Recurso</v>
      </c>
      <c r="K51" s="7">
        <v>13</v>
      </c>
      <c r="L51" s="7">
        <v>10</v>
      </c>
      <c r="M51" s="7">
        <v>0</v>
      </c>
      <c r="N51" s="7">
        <v>12</v>
      </c>
      <c r="O51" s="7">
        <v>13</v>
      </c>
      <c r="P51" s="7">
        <v>0</v>
      </c>
      <c r="Q51" s="7">
        <v>0</v>
      </c>
      <c r="R51" s="7">
        <f t="shared" ref="R51:R52" si="6">4*1.2</f>
        <v>4.8</v>
      </c>
      <c r="S51" s="7">
        <v>6</v>
      </c>
      <c r="T51" s="7">
        <v>14</v>
      </c>
      <c r="U51" s="7">
        <v>10</v>
      </c>
      <c r="V51" s="7">
        <v>0</v>
      </c>
      <c r="W51" s="7">
        <v>0</v>
      </c>
      <c r="X51" s="7">
        <v>0</v>
      </c>
      <c r="Y51" s="7"/>
      <c r="Z51" s="7"/>
      <c r="AB51" s="7">
        <v>0</v>
      </c>
      <c r="AC51" s="7"/>
      <c r="AD51" s="7"/>
      <c r="AE51" s="7"/>
    </row>
    <row r="52" spans="1:31" ht="19.2" x14ac:dyDescent="0.35">
      <c r="A52" s="8">
        <v>47</v>
      </c>
      <c r="B52" s="9" t="s">
        <v>213</v>
      </c>
      <c r="C52" s="10">
        <f t="shared" si="5"/>
        <v>7.3428571428571425</v>
      </c>
      <c r="D52" s="6">
        <v>10</v>
      </c>
      <c r="E52" s="6">
        <v>10.25</v>
      </c>
      <c r="F52" s="11">
        <f t="shared" si="1"/>
        <v>9.012142857142857</v>
      </c>
      <c r="G52" s="37">
        <v>10.15</v>
      </c>
      <c r="H52" s="10">
        <f t="shared" si="2"/>
        <v>9.4672857142857154</v>
      </c>
      <c r="I52" s="10"/>
      <c r="J52" s="6" t="str">
        <f t="shared" si="3"/>
        <v>APROVADO</v>
      </c>
      <c r="K52" s="7">
        <v>0</v>
      </c>
      <c r="L52" s="7">
        <f>4*1.25</f>
        <v>5</v>
      </c>
      <c r="M52" s="7">
        <v>14</v>
      </c>
      <c r="N52" s="7">
        <v>8</v>
      </c>
      <c r="O52" s="7">
        <v>13</v>
      </c>
      <c r="P52" s="7">
        <v>4</v>
      </c>
      <c r="Q52" s="7">
        <v>13</v>
      </c>
      <c r="R52" s="7">
        <f t="shared" si="6"/>
        <v>4.8</v>
      </c>
      <c r="S52" s="7">
        <f>4*1.25</f>
        <v>5</v>
      </c>
      <c r="T52" s="7">
        <v>14</v>
      </c>
      <c r="U52" s="7">
        <v>0</v>
      </c>
      <c r="V52" s="7">
        <v>14</v>
      </c>
      <c r="W52" s="7">
        <v>8</v>
      </c>
      <c r="X52" s="7">
        <v>0</v>
      </c>
      <c r="Y52" s="7"/>
      <c r="Z52" s="7"/>
      <c r="AB52" s="7"/>
      <c r="AC52" s="7"/>
      <c r="AD52" s="7"/>
      <c r="AE52" s="7"/>
    </row>
    <row r="53" spans="1:31" ht="19.2" x14ac:dyDescent="0.35">
      <c r="A53" s="8">
        <v>48</v>
      </c>
      <c r="B53" s="9" t="s">
        <v>194</v>
      </c>
      <c r="C53" s="10">
        <f t="shared" si="5"/>
        <v>4.8285714285714283</v>
      </c>
      <c r="D53" s="6">
        <v>5</v>
      </c>
      <c r="E53" s="6">
        <v>10.5</v>
      </c>
      <c r="F53" s="11">
        <f t="shared" si="1"/>
        <v>6.581428571428571</v>
      </c>
      <c r="G53" s="42">
        <f>12.25+1.6</f>
        <v>13.85</v>
      </c>
      <c r="H53" s="10">
        <f t="shared" si="2"/>
        <v>9.4888571428571424</v>
      </c>
      <c r="I53" s="10"/>
      <c r="J53" s="6" t="str">
        <f t="shared" si="3"/>
        <v>APROVADO</v>
      </c>
      <c r="K53" s="7">
        <v>13</v>
      </c>
      <c r="L53" s="43">
        <v>20</v>
      </c>
      <c r="M53" s="43">
        <v>20</v>
      </c>
      <c r="N53" s="7">
        <f>1.75*4</f>
        <v>7</v>
      </c>
      <c r="O53" s="7">
        <v>0</v>
      </c>
      <c r="P53" s="7">
        <v>0</v>
      </c>
      <c r="Q53" s="7">
        <v>0</v>
      </c>
      <c r="R53" s="7">
        <v>0</v>
      </c>
      <c r="S53" s="7">
        <f>4*1.9</f>
        <v>7.6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/>
      <c r="Z53" s="7"/>
      <c r="AB53" s="7">
        <v>0</v>
      </c>
      <c r="AC53" s="7"/>
      <c r="AD53" s="7"/>
      <c r="AE53" s="7"/>
    </row>
    <row r="54" spans="1:31" ht="19.2" x14ac:dyDescent="0.35">
      <c r="A54" s="8">
        <v>49</v>
      </c>
      <c r="B54" s="9" t="s">
        <v>195</v>
      </c>
      <c r="C54" s="10">
        <f t="shared" si="5"/>
        <v>2.5071428571428571</v>
      </c>
      <c r="D54" s="6">
        <v>20</v>
      </c>
      <c r="E54" s="6">
        <v>6</v>
      </c>
      <c r="F54" s="11">
        <f t="shared" si="1"/>
        <v>8.8028571428571425</v>
      </c>
      <c r="G54" s="10">
        <v>5.5</v>
      </c>
      <c r="H54" s="10">
        <f t="shared" si="2"/>
        <v>7.4817142857142853</v>
      </c>
      <c r="I54" s="10"/>
      <c r="J54" s="6" t="str">
        <f t="shared" si="3"/>
        <v>Recurso</v>
      </c>
      <c r="K54" s="7">
        <v>0</v>
      </c>
      <c r="L54" s="7">
        <v>0</v>
      </c>
      <c r="M54" s="7">
        <v>0</v>
      </c>
      <c r="N54" s="7">
        <v>7</v>
      </c>
      <c r="O54" s="7">
        <v>0</v>
      </c>
      <c r="P54" s="7">
        <f>4*1.4</f>
        <v>5.6</v>
      </c>
      <c r="Q54" s="7">
        <v>0</v>
      </c>
      <c r="R54" s="7">
        <v>0</v>
      </c>
      <c r="S54" s="7">
        <f>4*3.25</f>
        <v>13</v>
      </c>
      <c r="T54" s="7">
        <v>0</v>
      </c>
      <c r="U54" s="7">
        <v>9.5</v>
      </c>
      <c r="V54" s="7">
        <v>0</v>
      </c>
      <c r="W54" s="7">
        <v>0</v>
      </c>
      <c r="X54" s="7">
        <v>0</v>
      </c>
      <c r="Y54" s="7"/>
      <c r="Z54" s="7"/>
      <c r="AB54" s="7">
        <v>0</v>
      </c>
      <c r="AC54" s="7"/>
      <c r="AD54" s="7"/>
      <c r="AE54" s="7"/>
    </row>
    <row r="55" spans="1:31" ht="19.2" x14ac:dyDescent="0.35">
      <c r="A55" s="8">
        <v>50</v>
      </c>
      <c r="B55" s="9" t="s">
        <v>196</v>
      </c>
      <c r="C55" s="10">
        <f t="shared" si="5"/>
        <v>1.7857142857142858</v>
      </c>
      <c r="D55" s="6">
        <v>20</v>
      </c>
      <c r="E55" s="6">
        <v>10.25</v>
      </c>
      <c r="F55" s="11">
        <f t="shared" si="1"/>
        <v>9.7892857142857146</v>
      </c>
      <c r="G55" s="10">
        <v>10.5</v>
      </c>
      <c r="H55" s="10">
        <f t="shared" si="2"/>
        <v>10.073571428571428</v>
      </c>
      <c r="I55" s="10"/>
      <c r="J55" s="6" t="str">
        <f t="shared" si="3"/>
        <v>APROVADO</v>
      </c>
      <c r="K55" s="7">
        <v>13</v>
      </c>
      <c r="L55" s="7">
        <v>0</v>
      </c>
      <c r="M55" s="7">
        <v>0</v>
      </c>
      <c r="N55" s="7">
        <v>8</v>
      </c>
      <c r="O55" s="7">
        <v>0</v>
      </c>
      <c r="P55" s="7">
        <v>4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/>
      <c r="Z55" s="7"/>
      <c r="AB55" s="7">
        <v>0</v>
      </c>
      <c r="AC55" s="7"/>
      <c r="AD55" s="7"/>
      <c r="AE55" s="7"/>
    </row>
    <row r="56" spans="1:31" ht="15.75" customHeight="1" x14ac:dyDescent="0.3">
      <c r="A56" s="24"/>
      <c r="B56" s="24"/>
      <c r="C56" s="25" t="s">
        <v>214</v>
      </c>
      <c r="D56" s="25">
        <f t="shared" ref="D56:E56" si="7">50-1-COUNTIF(D6:D55,"F")-2</f>
        <v>47</v>
      </c>
      <c r="E56" s="25">
        <f t="shared" si="7"/>
        <v>45</v>
      </c>
      <c r="F56" s="25" t="s">
        <v>214</v>
      </c>
      <c r="G56" s="25">
        <f>A55-COUNTIF(G6:G55,"F")</f>
        <v>41</v>
      </c>
      <c r="H56" s="25" t="s">
        <v>215</v>
      </c>
      <c r="I56" s="44">
        <f>COUNTIF(J5:J54,"EXAME")</f>
        <v>0</v>
      </c>
      <c r="J56" s="25"/>
      <c r="K56" s="25"/>
      <c r="L56" s="25"/>
      <c r="M56" s="25"/>
      <c r="N56" s="25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B56" s="24"/>
      <c r="AC56" s="24"/>
      <c r="AD56" s="24"/>
      <c r="AE56" s="24"/>
    </row>
    <row r="57" spans="1:31" ht="15.75" customHeight="1" x14ac:dyDescent="0.3">
      <c r="A57" s="24"/>
      <c r="B57" s="24"/>
      <c r="C57" s="45" t="s">
        <v>216</v>
      </c>
      <c r="D57" s="45">
        <f t="shared" ref="D57:E57" si="8">COUNTIF(D6:D55,"&lt;10")</f>
        <v>10</v>
      </c>
      <c r="E57" s="45">
        <f t="shared" si="8"/>
        <v>29</v>
      </c>
      <c r="F57" s="25" t="s">
        <v>216</v>
      </c>
      <c r="G57" s="45">
        <f>COUNTIF(G6:G55,"&lt;10")</f>
        <v>29</v>
      </c>
      <c r="H57" s="25" t="s">
        <v>217</v>
      </c>
      <c r="I57" s="45">
        <f>COUNTIF(J6:J55,"Recurso")</f>
        <v>27</v>
      </c>
      <c r="J57" s="25"/>
      <c r="K57" s="25"/>
      <c r="L57" s="25"/>
      <c r="M57" s="25"/>
      <c r="N57" s="25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B57" s="24"/>
      <c r="AC57" s="24"/>
      <c r="AD57" s="24"/>
      <c r="AE57" s="24"/>
    </row>
    <row r="58" spans="1:31" ht="15.75" customHeight="1" x14ac:dyDescent="0.3">
      <c r="A58" s="24"/>
      <c r="B58" s="24"/>
      <c r="C58" s="44" t="s">
        <v>197</v>
      </c>
      <c r="D58" s="44">
        <f t="shared" ref="D58:E58" si="9">COUNTIF(D6:D55,"&gt;=10")</f>
        <v>35</v>
      </c>
      <c r="E58" s="44">
        <f t="shared" si="9"/>
        <v>13</v>
      </c>
      <c r="F58" s="25" t="s">
        <v>197</v>
      </c>
      <c r="G58" s="44">
        <f>COUNTIF(G6:G55,"&gt;=10")</f>
        <v>12</v>
      </c>
      <c r="H58" s="25" t="s">
        <v>218</v>
      </c>
      <c r="I58" s="46">
        <f>COUNTIF(J6:J55,"REPROVADO")</f>
        <v>7</v>
      </c>
      <c r="J58" s="25"/>
      <c r="K58" s="25"/>
      <c r="L58" s="25"/>
      <c r="M58" s="25"/>
      <c r="N58" s="25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B58" s="24"/>
      <c r="AC58" s="24"/>
      <c r="AD58" s="24"/>
      <c r="AE58" s="24"/>
    </row>
    <row r="59" spans="1:31" ht="15.75" customHeight="1" x14ac:dyDescent="0.3">
      <c r="A59" s="24"/>
      <c r="B59" s="25"/>
      <c r="C59" s="25"/>
      <c r="D59" s="25"/>
      <c r="E59" s="25"/>
      <c r="F59" s="25"/>
      <c r="G59" s="25"/>
      <c r="H59" s="25" t="s">
        <v>219</v>
      </c>
      <c r="I59" s="47">
        <f>A55-I58-I57</f>
        <v>16</v>
      </c>
      <c r="J59" s="25"/>
      <c r="K59" s="25"/>
      <c r="L59" s="25"/>
      <c r="M59" s="25"/>
      <c r="N59" s="25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B59" s="24"/>
      <c r="AC59" s="24"/>
      <c r="AD59" s="24"/>
      <c r="AE59" s="24"/>
    </row>
    <row r="60" spans="1:31" ht="15.75" customHeight="1" x14ac:dyDescent="0.3">
      <c r="A60" s="24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B60" s="24"/>
      <c r="AC60" s="24"/>
      <c r="AD60" s="24"/>
      <c r="AE60" s="24"/>
    </row>
    <row r="61" spans="1:31" ht="15.75" customHeight="1" x14ac:dyDescent="0.3">
      <c r="A61" s="24"/>
      <c r="B61" s="25"/>
      <c r="C61" s="25">
        <f>0.4*C46+0.6*AVERAGE(D46,E46)</f>
        <v>9.4107142857142847</v>
      </c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B61" s="24"/>
      <c r="AC61" s="24"/>
      <c r="AD61" s="24"/>
      <c r="AE61" s="24"/>
    </row>
    <row r="62" spans="1:31" ht="15.75" customHeight="1" x14ac:dyDescent="0.3">
      <c r="A62" s="24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B62" s="24"/>
      <c r="AC62" s="24"/>
      <c r="AD62" s="24"/>
      <c r="AE62" s="24"/>
    </row>
    <row r="63" spans="1:31" ht="15.75" customHeight="1" x14ac:dyDescent="0.3">
      <c r="A63" s="24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B63" s="24"/>
      <c r="AC63" s="24"/>
      <c r="AD63" s="24"/>
      <c r="AE63" s="24"/>
    </row>
    <row r="64" spans="1:31" ht="15.75" customHeight="1" x14ac:dyDescent="0.3">
      <c r="A64" s="24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B64" s="24"/>
      <c r="AC64" s="24"/>
      <c r="AD64" s="24"/>
      <c r="AE64" s="24"/>
    </row>
  </sheetData>
  <mergeCells count="4">
    <mergeCell ref="A1:J2"/>
    <mergeCell ref="A3:J4"/>
    <mergeCell ref="K3:Z4"/>
    <mergeCell ref="AB3:AE4"/>
  </mergeCells>
  <conditionalFormatting sqref="C6:J55">
    <cfRule type="cellIs" dxfId="14" priority="6" operator="lessThan">
      <formula>9.5</formula>
    </cfRule>
  </conditionalFormatting>
  <conditionalFormatting sqref="H6:J55">
    <cfRule type="cellIs" dxfId="13" priority="1" operator="lessThan">
      <formula>9.45</formula>
    </cfRule>
  </conditionalFormatting>
  <conditionalFormatting sqref="J6:J55">
    <cfRule type="containsText" dxfId="12" priority="2" operator="containsText" text="Recurso">
      <formula>NOT(ISERROR(SEARCH(("Recurso"),(J6))))</formula>
    </cfRule>
    <cfRule type="containsText" dxfId="11" priority="3" operator="containsText" text="APROVADO">
      <formula>NOT(ISERROR(SEARCH(("APROVADO"),(J6))))</formula>
    </cfRule>
    <cfRule type="containsText" dxfId="10" priority="4" operator="containsText" text="Dispensado">
      <formula>NOT(ISERROR(SEARCH(("Dispensado"),(J6))))</formula>
    </cfRule>
    <cfRule type="containsText" dxfId="9" priority="5" operator="containsText" text="REPROVADO">
      <formula>NOT(ISERROR(SEARCH(("REPROVADO"),(J6))))</formula>
    </cfRule>
  </conditionalFormatting>
  <conditionalFormatting sqref="K6:Z55">
    <cfRule type="cellIs" dxfId="8" priority="7" operator="lessThan">
      <formula>10</formula>
    </cfRule>
  </conditionalFormatting>
  <pageMargins left="0.7" right="0.7" top="0.75" bottom="0.75" header="0" footer="0"/>
  <pageSetup paperSize="9" scale="62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L1006"/>
  <sheetViews>
    <sheetView tabSelected="1" workbookViewId="0">
      <selection activeCell="B12" sqref="B12"/>
    </sheetView>
  </sheetViews>
  <sheetFormatPr defaultColWidth="11.19921875" defaultRowHeight="15" customHeight="1" x14ac:dyDescent="0.3"/>
  <cols>
    <col min="1" max="1" width="14.59765625" customWidth="1"/>
    <col min="2" max="2" width="41" customWidth="1"/>
    <col min="3" max="3" width="8" customWidth="1"/>
    <col min="4" max="4" width="5.8984375" customWidth="1"/>
    <col min="5" max="5" width="8.59765625" customWidth="1"/>
    <col min="6" max="6" width="7.09765625" customWidth="1"/>
    <col min="7" max="7" width="7.19921875" customWidth="1"/>
    <col min="8" max="8" width="7.59765625" customWidth="1"/>
    <col min="9" max="9" width="7.69921875" customWidth="1"/>
    <col min="10" max="10" width="8.69921875" customWidth="1"/>
    <col min="11" max="11" width="9.3984375" customWidth="1"/>
    <col min="12" max="12" width="17.796875" customWidth="1"/>
    <col min="13" max="14" width="4" customWidth="1"/>
    <col min="15" max="15" width="5.796875" customWidth="1"/>
    <col min="16" max="16" width="5.8984375" customWidth="1"/>
    <col min="17" max="17" width="6.09765625" customWidth="1"/>
    <col min="18" max="18" width="4.59765625" customWidth="1"/>
    <col min="19" max="19" width="4.09765625" customWidth="1"/>
    <col min="20" max="20" width="4" customWidth="1"/>
    <col min="21" max="21" width="3.69921875" customWidth="1"/>
    <col min="22" max="22" width="3.8984375" customWidth="1"/>
    <col min="23" max="23" width="3.69921875" customWidth="1"/>
    <col min="24" max="24" width="3.8984375" customWidth="1"/>
    <col min="25" max="25" width="3.69921875" customWidth="1"/>
    <col min="26" max="26" width="4.09765625" customWidth="1"/>
    <col min="27" max="27" width="3.59765625" customWidth="1"/>
    <col min="28" max="28" width="3.69921875" customWidth="1"/>
    <col min="29" max="29" width="7.296875" customWidth="1"/>
    <col min="30" max="30" width="6.19921875" customWidth="1"/>
    <col min="31" max="31" width="6.3984375" customWidth="1"/>
    <col min="32" max="32" width="10.59765625" customWidth="1"/>
    <col min="33" max="34" width="3.69921875" customWidth="1"/>
    <col min="35" max="35" width="3.296875" customWidth="1"/>
    <col min="36" max="36" width="3" customWidth="1"/>
    <col min="37" max="37" width="3.69921875" customWidth="1"/>
    <col min="38" max="38" width="3.59765625" customWidth="1"/>
  </cols>
  <sheetData>
    <row r="1" spans="1:38" ht="36.6" x14ac:dyDescent="0.3">
      <c r="A1" s="50" t="s">
        <v>220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36.6" x14ac:dyDescent="0.3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5.6" x14ac:dyDescent="0.3">
      <c r="A3" s="54" t="s">
        <v>221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5" t="s">
        <v>2</v>
      </c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7"/>
      <c r="AI3" s="61" t="s">
        <v>3</v>
      </c>
      <c r="AJ3" s="56"/>
      <c r="AK3" s="56"/>
      <c r="AL3" s="57"/>
    </row>
    <row r="4" spans="1:38" ht="15.6" x14ac:dyDescent="0.3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8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60"/>
      <c r="AI4" s="58"/>
      <c r="AJ4" s="59"/>
      <c r="AK4" s="59"/>
      <c r="AL4" s="60"/>
    </row>
    <row r="5" spans="1:38" ht="18" x14ac:dyDescent="0.3">
      <c r="A5" s="3" t="s">
        <v>251</v>
      </c>
      <c r="B5" s="4" t="s">
        <v>5</v>
      </c>
      <c r="C5" s="5" t="s">
        <v>6</v>
      </c>
      <c r="D5" s="6" t="s">
        <v>7</v>
      </c>
      <c r="E5" s="6" t="s">
        <v>8</v>
      </c>
      <c r="F5" s="6" t="s">
        <v>222</v>
      </c>
      <c r="G5" s="6" t="s">
        <v>223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7">
        <v>1</v>
      </c>
      <c r="N5" s="7">
        <v>2</v>
      </c>
      <c r="O5" s="43" t="s">
        <v>224</v>
      </c>
      <c r="P5" s="7">
        <v>4</v>
      </c>
      <c r="Q5" s="7">
        <v>5</v>
      </c>
      <c r="R5" s="7">
        <v>6</v>
      </c>
      <c r="S5" s="7">
        <v>7</v>
      </c>
      <c r="T5" s="7">
        <v>8</v>
      </c>
      <c r="U5" s="7">
        <v>9</v>
      </c>
      <c r="V5" s="7">
        <v>10</v>
      </c>
      <c r="W5" s="7">
        <v>11</v>
      </c>
      <c r="X5" s="7">
        <v>12</v>
      </c>
      <c r="Y5" s="7">
        <v>13</v>
      </c>
      <c r="Z5" s="7">
        <v>14</v>
      </c>
      <c r="AA5" s="7">
        <v>15</v>
      </c>
      <c r="AB5" s="7">
        <v>16</v>
      </c>
      <c r="AC5" s="48" t="s">
        <v>225</v>
      </c>
      <c r="AD5" s="48" t="s">
        <v>226</v>
      </c>
      <c r="AE5" s="48" t="s">
        <v>227</v>
      </c>
      <c r="AF5" s="48" t="s">
        <v>228</v>
      </c>
      <c r="AG5" s="48"/>
      <c r="AH5" s="48"/>
      <c r="AI5" s="7">
        <v>1</v>
      </c>
      <c r="AJ5" s="7">
        <v>2</v>
      </c>
      <c r="AK5" s="7">
        <v>3</v>
      </c>
      <c r="AL5" s="7">
        <v>4</v>
      </c>
    </row>
    <row r="6" spans="1:38" ht="18" x14ac:dyDescent="0.35">
      <c r="A6" s="62" t="s">
        <v>252</v>
      </c>
      <c r="B6" s="9" t="s">
        <v>229</v>
      </c>
      <c r="C6" s="10">
        <f t="shared" ref="C6:C29" si="0">SUM(M6:AB6)/COUNT(M6:AB6)</f>
        <v>0</v>
      </c>
      <c r="D6" s="6">
        <v>13</v>
      </c>
      <c r="E6" s="6" t="s">
        <v>15</v>
      </c>
      <c r="F6" s="11">
        <f t="shared" ref="F6:F29" si="1">G6</f>
        <v>0</v>
      </c>
      <c r="G6" s="11">
        <f t="shared" ref="G6:G29" si="2">0.3*AE6+0.7*(IF(AF6="F",0,AF6))</f>
        <v>0</v>
      </c>
      <c r="H6" s="11">
        <f t="shared" ref="H6:H29" si="3">IF(OR(AND(D6="P",E6="P",F6="P",G6="P"),AND(D6="p",E6="p",F6="p",G6="p")),0,0.4*C6+0.6*AVERAGE(IF(F6="F",0,F6),IF(G6="F",0,G6),IF(D6="F",0,D6),IF(E6="F",0,E6)))</f>
        <v>1.95</v>
      </c>
      <c r="I6" s="6"/>
      <c r="J6" s="10" t="str">
        <f t="shared" ref="J6:J29" si="4">IF(OR(AND(D6="P",E6="P",F6="P",G6="P"),AND(D6="p",E6="p",F6="p",G6="p")),IF(I6="F",0,I6),IF(I6="","",IF(I6="F",IF(H6&gt;12.45,H6,H6*0.6),H6*0.6+I6*0.4)))</f>
        <v/>
      </c>
      <c r="K6" s="6"/>
      <c r="L6" s="6" t="str">
        <f t="shared" ref="L6:L29" si="5">IF(OR(H6&gt;=6.5,OR(AND(D6="P",E6="P",F6="P",G6="P"),AND(D6="p",E6="p",F6="p",G6="p"))),IF(AND(H6&gt;=13.5,F6&gt;=10,G6&gt;=10),"Dispensado",IF(J6="","EXAME",IF(J6&gt;9.44,"APROVADO",IF(K6="","Recurso",IF(NOT(K6=10),"REPROVADO","APROVADO"))))),"REPROVADO")</f>
        <v>REPROVADO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/>
      <c r="V6" s="7"/>
      <c r="W6" s="7"/>
      <c r="X6" s="7"/>
      <c r="Y6" s="7"/>
      <c r="Z6" s="7"/>
      <c r="AA6" s="7"/>
      <c r="AB6" s="7"/>
      <c r="AC6" s="48" t="s">
        <v>15</v>
      </c>
      <c r="AD6" s="48" t="s">
        <v>15</v>
      </c>
      <c r="AE6" s="48">
        <f t="shared" ref="AE6:AE29" si="6">(IF(AC6="F",0,AC6)+IF(AD6="F",0,AD6))/2</f>
        <v>0</v>
      </c>
      <c r="AF6" s="48" t="s">
        <v>15</v>
      </c>
      <c r="AG6" s="48"/>
      <c r="AH6" s="48"/>
      <c r="AI6" s="7"/>
      <c r="AJ6" s="7"/>
      <c r="AK6" s="7"/>
      <c r="AL6" s="7"/>
    </row>
    <row r="7" spans="1:38" ht="18" x14ac:dyDescent="0.35">
      <c r="A7" s="63" t="s">
        <v>253</v>
      </c>
      <c r="B7" s="9" t="s">
        <v>230</v>
      </c>
      <c r="C7" s="10">
        <f t="shared" si="0"/>
        <v>10.625</v>
      </c>
      <c r="D7" s="6">
        <v>17</v>
      </c>
      <c r="E7" s="6">
        <v>12</v>
      </c>
      <c r="F7" s="11">
        <f t="shared" si="1"/>
        <v>12.01</v>
      </c>
      <c r="G7" s="11">
        <f>0.3*AE7+0.7*(IF(AF7="F",0,AF7))</f>
        <v>12.01</v>
      </c>
      <c r="H7" s="11">
        <f t="shared" si="3"/>
        <v>12.202999999999999</v>
      </c>
      <c r="I7" s="6"/>
      <c r="J7" s="10" t="str">
        <f t="shared" si="4"/>
        <v/>
      </c>
      <c r="K7" s="6"/>
      <c r="L7" s="6" t="str">
        <f t="shared" si="5"/>
        <v>EXAME</v>
      </c>
      <c r="M7" s="7">
        <v>15</v>
      </c>
      <c r="N7" s="7">
        <v>0</v>
      </c>
      <c r="O7" s="7">
        <f>4+3+2+3+3</f>
        <v>15</v>
      </c>
      <c r="P7" s="7">
        <v>13</v>
      </c>
      <c r="Q7" s="7">
        <v>15</v>
      </c>
      <c r="R7" s="7">
        <v>0</v>
      </c>
      <c r="S7" s="7">
        <v>14</v>
      </c>
      <c r="T7" s="7">
        <v>13</v>
      </c>
      <c r="U7" s="7"/>
      <c r="V7" s="7"/>
      <c r="W7" s="7"/>
      <c r="X7" s="7"/>
      <c r="Y7" s="7"/>
      <c r="Z7" s="7"/>
      <c r="AA7" s="7"/>
      <c r="AB7" s="7"/>
      <c r="AC7" s="48">
        <v>15.4</v>
      </c>
      <c r="AD7" s="48">
        <v>18</v>
      </c>
      <c r="AE7" s="48">
        <f t="shared" si="6"/>
        <v>16.7</v>
      </c>
      <c r="AF7" s="48">
        <v>10</v>
      </c>
      <c r="AG7" s="48"/>
      <c r="AH7" s="48"/>
      <c r="AI7" s="7"/>
      <c r="AJ7" s="7"/>
      <c r="AK7" s="7"/>
      <c r="AL7" s="7"/>
    </row>
    <row r="8" spans="1:38" ht="18" x14ac:dyDescent="0.35">
      <c r="A8" s="62" t="s">
        <v>254</v>
      </c>
      <c r="B8" s="9" t="s">
        <v>127</v>
      </c>
      <c r="C8" s="10">
        <f t="shared" si="0"/>
        <v>7.125</v>
      </c>
      <c r="D8" s="6">
        <v>18</v>
      </c>
      <c r="E8" s="6">
        <v>6</v>
      </c>
      <c r="F8" s="11">
        <f t="shared" si="1"/>
        <v>9.25</v>
      </c>
      <c r="G8" s="11">
        <f t="shared" si="2"/>
        <v>9.25</v>
      </c>
      <c r="H8" s="11">
        <f t="shared" si="3"/>
        <v>9.2249999999999996</v>
      </c>
      <c r="I8" s="6"/>
      <c r="J8" s="10" t="str">
        <f t="shared" si="4"/>
        <v/>
      </c>
      <c r="K8" s="6"/>
      <c r="L8" s="6" t="str">
        <f t="shared" si="5"/>
        <v>EXAME</v>
      </c>
      <c r="M8" s="7">
        <v>15</v>
      </c>
      <c r="N8" s="7">
        <v>0</v>
      </c>
      <c r="O8" s="7">
        <f>4+3+2+2+3</f>
        <v>14</v>
      </c>
      <c r="P8" s="7">
        <v>0</v>
      </c>
      <c r="Q8" s="7">
        <v>15</v>
      </c>
      <c r="R8" s="7">
        <v>13</v>
      </c>
      <c r="S8" s="7">
        <v>0</v>
      </c>
      <c r="T8" s="7">
        <v>0</v>
      </c>
      <c r="U8" s="7"/>
      <c r="V8" s="7"/>
      <c r="W8" s="7"/>
      <c r="X8" s="7"/>
      <c r="Y8" s="7"/>
      <c r="Z8" s="7"/>
      <c r="AA8" s="7"/>
      <c r="AB8" s="7"/>
      <c r="AC8" s="48">
        <v>15</v>
      </c>
      <c r="AD8" s="48">
        <v>0</v>
      </c>
      <c r="AE8" s="48">
        <f t="shared" si="6"/>
        <v>7.5</v>
      </c>
      <c r="AF8" s="48">
        <v>10</v>
      </c>
      <c r="AG8" s="48"/>
      <c r="AH8" s="48"/>
      <c r="AI8" s="7"/>
      <c r="AJ8" s="7"/>
      <c r="AK8" s="7"/>
      <c r="AL8" s="7"/>
    </row>
    <row r="9" spans="1:38" ht="18" x14ac:dyDescent="0.35">
      <c r="A9" s="63" t="s">
        <v>255</v>
      </c>
      <c r="B9" s="9" t="s">
        <v>126</v>
      </c>
      <c r="C9" s="10">
        <f t="shared" si="0"/>
        <v>12.125</v>
      </c>
      <c r="D9" s="6">
        <v>17</v>
      </c>
      <c r="E9" s="6">
        <v>11</v>
      </c>
      <c r="F9" s="11">
        <f t="shared" si="1"/>
        <v>12.655000000000001</v>
      </c>
      <c r="G9" s="11">
        <f t="shared" si="2"/>
        <v>12.655000000000001</v>
      </c>
      <c r="H9" s="11">
        <f t="shared" si="3"/>
        <v>12.846500000000001</v>
      </c>
      <c r="I9" s="6"/>
      <c r="J9" s="10" t="str">
        <f t="shared" si="4"/>
        <v/>
      </c>
      <c r="K9" s="6"/>
      <c r="L9" s="6" t="str">
        <f t="shared" si="5"/>
        <v>EXAME</v>
      </c>
      <c r="M9" s="7">
        <v>15</v>
      </c>
      <c r="N9" s="7">
        <v>0</v>
      </c>
      <c r="O9" s="7">
        <v>14</v>
      </c>
      <c r="P9" s="7">
        <v>13</v>
      </c>
      <c r="Q9" s="7">
        <v>15</v>
      </c>
      <c r="R9" s="7">
        <v>13</v>
      </c>
      <c r="S9" s="7">
        <v>14</v>
      </c>
      <c r="T9" s="7">
        <v>13</v>
      </c>
      <c r="U9" s="7"/>
      <c r="V9" s="7"/>
      <c r="W9" s="7"/>
      <c r="X9" s="7"/>
      <c r="Y9" s="7"/>
      <c r="Z9" s="7"/>
      <c r="AA9" s="7"/>
      <c r="AB9" s="7"/>
      <c r="AC9" s="48">
        <v>19.7</v>
      </c>
      <c r="AD9" s="48">
        <v>18</v>
      </c>
      <c r="AE9" s="48">
        <f t="shared" si="6"/>
        <v>18.850000000000001</v>
      </c>
      <c r="AF9" s="48">
        <v>10</v>
      </c>
      <c r="AG9" s="48"/>
      <c r="AH9" s="48"/>
      <c r="AI9" s="7"/>
      <c r="AJ9" s="7"/>
      <c r="AK9" s="7"/>
      <c r="AL9" s="7"/>
    </row>
    <row r="10" spans="1:38" ht="18" x14ac:dyDescent="0.35">
      <c r="A10" s="62" t="s">
        <v>256</v>
      </c>
      <c r="B10" s="9" t="s">
        <v>231</v>
      </c>
      <c r="C10" s="10">
        <f t="shared" si="0"/>
        <v>8.75</v>
      </c>
      <c r="D10" s="6">
        <v>19</v>
      </c>
      <c r="E10" s="6">
        <v>10</v>
      </c>
      <c r="F10" s="11">
        <f t="shared" si="1"/>
        <v>12.37</v>
      </c>
      <c r="G10" s="11">
        <f t="shared" si="2"/>
        <v>12.37</v>
      </c>
      <c r="H10" s="11">
        <f t="shared" si="3"/>
        <v>11.560999999999998</v>
      </c>
      <c r="I10" s="6"/>
      <c r="J10" s="10" t="str">
        <f t="shared" si="4"/>
        <v/>
      </c>
      <c r="K10" s="6"/>
      <c r="L10" s="6" t="str">
        <f t="shared" si="5"/>
        <v>EXAME</v>
      </c>
      <c r="M10" s="7">
        <v>15</v>
      </c>
      <c r="N10" s="7">
        <v>0</v>
      </c>
      <c r="O10" s="7">
        <f>4+3+2+2+3</f>
        <v>14</v>
      </c>
      <c r="P10" s="7">
        <v>13</v>
      </c>
      <c r="Q10" s="7">
        <v>15</v>
      </c>
      <c r="R10" s="7">
        <v>13</v>
      </c>
      <c r="S10" s="7">
        <v>0</v>
      </c>
      <c r="T10" s="7">
        <v>0</v>
      </c>
      <c r="U10" s="7"/>
      <c r="V10" s="7"/>
      <c r="W10" s="7"/>
      <c r="X10" s="7"/>
      <c r="Y10" s="7"/>
      <c r="Z10" s="7"/>
      <c r="AA10" s="7"/>
      <c r="AB10" s="7"/>
      <c r="AC10" s="48">
        <v>19.8</v>
      </c>
      <c r="AD10" s="48">
        <v>16</v>
      </c>
      <c r="AE10" s="48">
        <f t="shared" si="6"/>
        <v>17.899999999999999</v>
      </c>
      <c r="AF10" s="48">
        <v>10</v>
      </c>
      <c r="AG10" s="48"/>
      <c r="AH10" s="48"/>
      <c r="AI10" s="7"/>
      <c r="AJ10" s="7"/>
      <c r="AK10" s="7"/>
      <c r="AL10" s="7"/>
    </row>
    <row r="11" spans="1:38" ht="18" x14ac:dyDescent="0.35">
      <c r="A11" s="63" t="s">
        <v>257</v>
      </c>
      <c r="B11" s="9" t="s">
        <v>232</v>
      </c>
      <c r="C11" s="10">
        <f t="shared" si="0"/>
        <v>5.125</v>
      </c>
      <c r="D11" s="6">
        <v>14</v>
      </c>
      <c r="E11" s="6">
        <v>2</v>
      </c>
      <c r="F11" s="11">
        <f t="shared" si="1"/>
        <v>8.6</v>
      </c>
      <c r="G11" s="11">
        <f t="shared" si="2"/>
        <v>8.6</v>
      </c>
      <c r="H11" s="11">
        <f t="shared" si="3"/>
        <v>7.0300000000000011</v>
      </c>
      <c r="I11" s="6"/>
      <c r="J11" s="10" t="str">
        <f t="shared" si="4"/>
        <v/>
      </c>
      <c r="K11" s="6"/>
      <c r="L11" s="6" t="str">
        <f t="shared" si="5"/>
        <v>EXAME</v>
      </c>
      <c r="M11" s="7">
        <v>0</v>
      </c>
      <c r="N11" s="7">
        <v>0</v>
      </c>
      <c r="O11" s="7">
        <v>13</v>
      </c>
      <c r="P11" s="7">
        <v>0</v>
      </c>
      <c r="Q11" s="7">
        <v>15</v>
      </c>
      <c r="R11" s="7">
        <v>13</v>
      </c>
      <c r="S11" s="7">
        <v>0</v>
      </c>
      <c r="T11" s="7">
        <v>0</v>
      </c>
      <c r="U11" s="7"/>
      <c r="V11" s="7"/>
      <c r="W11" s="7"/>
      <c r="X11" s="7"/>
      <c r="Y11" s="7"/>
      <c r="Z11" s="7"/>
      <c r="AA11" s="7"/>
      <c r="AB11" s="7"/>
      <c r="AC11" s="48">
        <v>20</v>
      </c>
      <c r="AD11" s="48">
        <v>0</v>
      </c>
      <c r="AE11" s="48">
        <f t="shared" si="6"/>
        <v>10</v>
      </c>
      <c r="AF11" s="48">
        <v>8</v>
      </c>
      <c r="AG11" s="48"/>
      <c r="AH11" s="48"/>
      <c r="AI11" s="7"/>
      <c r="AJ11" s="7"/>
      <c r="AK11" s="7"/>
      <c r="AL11" s="7"/>
    </row>
    <row r="12" spans="1:38" ht="18" x14ac:dyDescent="0.35">
      <c r="A12" s="62" t="s">
        <v>258</v>
      </c>
      <c r="B12" s="9" t="s">
        <v>233</v>
      </c>
      <c r="C12" s="10">
        <f t="shared" si="0"/>
        <v>7.125</v>
      </c>
      <c r="D12" s="6">
        <v>17</v>
      </c>
      <c r="E12" s="6">
        <v>6</v>
      </c>
      <c r="F12" s="11">
        <f t="shared" si="1"/>
        <v>8.6749999999999989</v>
      </c>
      <c r="G12" s="11">
        <f t="shared" si="2"/>
        <v>8.6749999999999989</v>
      </c>
      <c r="H12" s="11">
        <f t="shared" si="3"/>
        <v>8.9024999999999999</v>
      </c>
      <c r="I12" s="6"/>
      <c r="J12" s="10" t="str">
        <f t="shared" si="4"/>
        <v/>
      </c>
      <c r="K12" s="6"/>
      <c r="L12" s="6" t="str">
        <f t="shared" si="5"/>
        <v>EXAME</v>
      </c>
      <c r="M12" s="7">
        <v>15</v>
      </c>
      <c r="N12" s="7">
        <v>0</v>
      </c>
      <c r="O12" s="7">
        <v>14</v>
      </c>
      <c r="P12" s="7">
        <v>0</v>
      </c>
      <c r="Q12" s="7">
        <v>15</v>
      </c>
      <c r="R12" s="7">
        <v>13</v>
      </c>
      <c r="S12" s="7">
        <v>0</v>
      </c>
      <c r="T12" s="7">
        <v>0</v>
      </c>
      <c r="U12" s="7"/>
      <c r="V12" s="7"/>
      <c r="W12" s="7"/>
      <c r="X12" s="7"/>
      <c r="Y12" s="7"/>
      <c r="Z12" s="7"/>
      <c r="AA12" s="7"/>
      <c r="AB12" s="7"/>
      <c r="AC12" s="48">
        <v>13.5</v>
      </c>
      <c r="AD12" s="48">
        <v>7</v>
      </c>
      <c r="AE12" s="48">
        <f t="shared" si="6"/>
        <v>10.25</v>
      </c>
      <c r="AF12" s="48">
        <v>8</v>
      </c>
      <c r="AG12" s="48"/>
      <c r="AH12" s="48"/>
      <c r="AI12" s="7"/>
      <c r="AJ12" s="7"/>
      <c r="AK12" s="7"/>
      <c r="AL12" s="7"/>
    </row>
    <row r="13" spans="1:38" ht="18" x14ac:dyDescent="0.35">
      <c r="A13" s="63" t="s">
        <v>259</v>
      </c>
      <c r="B13" s="9" t="s">
        <v>234</v>
      </c>
      <c r="C13" s="10">
        <f t="shared" si="0"/>
        <v>10.875</v>
      </c>
      <c r="D13" s="6">
        <v>16</v>
      </c>
      <c r="E13" s="6">
        <v>12</v>
      </c>
      <c r="F13" s="11">
        <f t="shared" si="1"/>
        <v>12.265000000000001</v>
      </c>
      <c r="G13" s="11">
        <f t="shared" si="2"/>
        <v>12.265000000000001</v>
      </c>
      <c r="H13" s="11">
        <f t="shared" si="3"/>
        <v>12.229500000000002</v>
      </c>
      <c r="I13" s="6"/>
      <c r="J13" s="10" t="str">
        <f t="shared" si="4"/>
        <v/>
      </c>
      <c r="K13" s="6"/>
      <c r="L13" s="6" t="str">
        <f t="shared" si="5"/>
        <v>EXAME</v>
      </c>
      <c r="M13" s="7">
        <v>15</v>
      </c>
      <c r="N13" s="7">
        <v>0</v>
      </c>
      <c r="O13" s="7">
        <f>4+4+3+3+4</f>
        <v>18</v>
      </c>
      <c r="P13" s="7">
        <v>13</v>
      </c>
      <c r="Q13" s="7">
        <v>15</v>
      </c>
      <c r="R13" s="7">
        <v>13</v>
      </c>
      <c r="S13" s="7">
        <v>0</v>
      </c>
      <c r="T13" s="7">
        <v>13</v>
      </c>
      <c r="U13" s="7"/>
      <c r="V13" s="7"/>
      <c r="W13" s="7"/>
      <c r="X13" s="7"/>
      <c r="Y13" s="7"/>
      <c r="Z13" s="7"/>
      <c r="AA13" s="7"/>
      <c r="AB13" s="7"/>
      <c r="AC13" s="48">
        <v>17.100000000000001</v>
      </c>
      <c r="AD13" s="48">
        <v>18</v>
      </c>
      <c r="AE13" s="48">
        <f t="shared" si="6"/>
        <v>17.55</v>
      </c>
      <c r="AF13" s="48">
        <v>10</v>
      </c>
      <c r="AG13" s="48"/>
      <c r="AH13" s="48"/>
      <c r="AI13" s="7"/>
      <c r="AJ13" s="7"/>
      <c r="AK13" s="7"/>
      <c r="AL13" s="7"/>
    </row>
    <row r="14" spans="1:38" ht="18" x14ac:dyDescent="0.35">
      <c r="A14" s="62" t="s">
        <v>260</v>
      </c>
      <c r="B14" s="9" t="s">
        <v>235</v>
      </c>
      <c r="C14" s="10">
        <f t="shared" si="0"/>
        <v>5.25</v>
      </c>
      <c r="D14" s="6">
        <v>17</v>
      </c>
      <c r="E14" s="6">
        <v>1</v>
      </c>
      <c r="F14" s="11">
        <f t="shared" si="1"/>
        <v>8.27</v>
      </c>
      <c r="G14" s="11">
        <f t="shared" si="2"/>
        <v>8.27</v>
      </c>
      <c r="H14" s="11">
        <f t="shared" si="3"/>
        <v>7.2810000000000006</v>
      </c>
      <c r="I14" s="6"/>
      <c r="J14" s="10" t="str">
        <f t="shared" si="4"/>
        <v/>
      </c>
      <c r="K14" s="6"/>
      <c r="L14" s="6" t="str">
        <f t="shared" si="5"/>
        <v>EXAME</v>
      </c>
      <c r="M14" s="7">
        <v>0</v>
      </c>
      <c r="N14" s="7">
        <v>0</v>
      </c>
      <c r="O14" s="7">
        <v>14</v>
      </c>
      <c r="P14" s="7">
        <v>0</v>
      </c>
      <c r="Q14" s="7">
        <v>15</v>
      </c>
      <c r="R14" s="7">
        <v>13</v>
      </c>
      <c r="S14" s="7">
        <v>0</v>
      </c>
      <c r="T14" s="7">
        <v>0</v>
      </c>
      <c r="U14" s="7"/>
      <c r="V14" s="7"/>
      <c r="W14" s="7"/>
      <c r="X14" s="7"/>
      <c r="Y14" s="7"/>
      <c r="Z14" s="7"/>
      <c r="AA14" s="7"/>
      <c r="AB14" s="7"/>
      <c r="AC14" s="48">
        <v>17.8</v>
      </c>
      <c r="AD14" s="48">
        <v>0</v>
      </c>
      <c r="AE14" s="48">
        <f t="shared" si="6"/>
        <v>8.9</v>
      </c>
      <c r="AF14" s="48">
        <v>8</v>
      </c>
      <c r="AG14" s="48"/>
      <c r="AH14" s="48"/>
      <c r="AI14" s="7"/>
      <c r="AJ14" s="7"/>
      <c r="AK14" s="7"/>
      <c r="AL14" s="7"/>
    </row>
    <row r="15" spans="1:38" ht="18" x14ac:dyDescent="0.35">
      <c r="A15" s="63" t="s">
        <v>261</v>
      </c>
      <c r="B15" s="9" t="s">
        <v>236</v>
      </c>
      <c r="C15" s="10">
        <f t="shared" si="0"/>
        <v>3</v>
      </c>
      <c r="D15" s="6">
        <v>12</v>
      </c>
      <c r="E15" s="6">
        <v>4</v>
      </c>
      <c r="F15" s="11">
        <f t="shared" si="1"/>
        <v>13.479999999999999</v>
      </c>
      <c r="G15" s="11">
        <f t="shared" si="2"/>
        <v>13.479999999999999</v>
      </c>
      <c r="H15" s="11">
        <f t="shared" si="3"/>
        <v>7.6439999999999992</v>
      </c>
      <c r="I15" s="6"/>
      <c r="J15" s="10" t="str">
        <f t="shared" si="4"/>
        <v/>
      </c>
      <c r="K15" s="6"/>
      <c r="L15" s="6" t="str">
        <f t="shared" si="5"/>
        <v>EXAME</v>
      </c>
      <c r="M15" s="7">
        <v>0</v>
      </c>
      <c r="N15" s="7">
        <v>0</v>
      </c>
      <c r="O15" s="7">
        <v>14</v>
      </c>
      <c r="P15" s="7">
        <v>0</v>
      </c>
      <c r="Q15" s="7">
        <v>0</v>
      </c>
      <c r="R15" s="7">
        <v>10</v>
      </c>
      <c r="S15" s="7">
        <v>0</v>
      </c>
      <c r="T15" s="7">
        <v>0</v>
      </c>
      <c r="U15" s="7"/>
      <c r="V15" s="7"/>
      <c r="W15" s="7"/>
      <c r="X15" s="7"/>
      <c r="Y15" s="7"/>
      <c r="Z15" s="7"/>
      <c r="AA15" s="7"/>
      <c r="AB15" s="7"/>
      <c r="AC15" s="48">
        <v>15.2</v>
      </c>
      <c r="AD15" s="48">
        <v>0</v>
      </c>
      <c r="AE15" s="48">
        <f t="shared" si="6"/>
        <v>7.6</v>
      </c>
      <c r="AF15" s="48">
        <v>16</v>
      </c>
      <c r="AG15" s="48"/>
      <c r="AH15" s="48"/>
      <c r="AI15" s="7"/>
      <c r="AJ15" s="7"/>
      <c r="AK15" s="7"/>
      <c r="AL15" s="7"/>
    </row>
    <row r="16" spans="1:38" ht="18" x14ac:dyDescent="0.35">
      <c r="A16" s="62" t="s">
        <v>262</v>
      </c>
      <c r="B16" s="9" t="s">
        <v>237</v>
      </c>
      <c r="C16" s="10">
        <f t="shared" si="0"/>
        <v>4.625</v>
      </c>
      <c r="D16" s="6">
        <v>13</v>
      </c>
      <c r="E16" s="6">
        <v>6</v>
      </c>
      <c r="F16" s="11">
        <f t="shared" si="1"/>
        <v>7.1999999999999993</v>
      </c>
      <c r="G16" s="11">
        <f t="shared" si="2"/>
        <v>7.1999999999999993</v>
      </c>
      <c r="H16" s="11">
        <f t="shared" si="3"/>
        <v>6.8599999999999994</v>
      </c>
      <c r="I16" s="6"/>
      <c r="J16" s="10" t="str">
        <f t="shared" si="4"/>
        <v/>
      </c>
      <c r="K16" s="6"/>
      <c r="L16" s="6" t="str">
        <f t="shared" si="5"/>
        <v>EXAME</v>
      </c>
      <c r="M16" s="43">
        <v>10</v>
      </c>
      <c r="N16" s="7">
        <v>0</v>
      </c>
      <c r="O16" s="7">
        <v>14</v>
      </c>
      <c r="P16" s="7">
        <v>0</v>
      </c>
      <c r="Q16" s="7">
        <v>0</v>
      </c>
      <c r="R16" s="7">
        <v>13</v>
      </c>
      <c r="S16" s="7">
        <v>0</v>
      </c>
      <c r="T16" s="7">
        <v>0</v>
      </c>
      <c r="U16" s="7"/>
      <c r="V16" s="7"/>
      <c r="W16" s="7"/>
      <c r="X16" s="7"/>
      <c r="Y16" s="7"/>
      <c r="Z16" s="7"/>
      <c r="AA16" s="7"/>
      <c r="AB16" s="7"/>
      <c r="AC16" s="48">
        <v>20</v>
      </c>
      <c r="AD16" s="48">
        <v>0</v>
      </c>
      <c r="AE16" s="48">
        <f t="shared" si="6"/>
        <v>10</v>
      </c>
      <c r="AF16" s="48">
        <v>6</v>
      </c>
      <c r="AG16" s="48"/>
      <c r="AH16" s="48"/>
      <c r="AI16" s="7"/>
      <c r="AJ16" s="7"/>
      <c r="AK16" s="7"/>
      <c r="AL16" s="7"/>
    </row>
    <row r="17" spans="1:38" ht="18" x14ac:dyDescent="0.35">
      <c r="A17" s="63" t="s">
        <v>263</v>
      </c>
      <c r="B17" s="9" t="s">
        <v>238</v>
      </c>
      <c r="C17" s="10">
        <f t="shared" si="0"/>
        <v>8.75</v>
      </c>
      <c r="D17" s="6">
        <v>13</v>
      </c>
      <c r="E17" s="6">
        <v>7</v>
      </c>
      <c r="F17" s="11">
        <f t="shared" si="1"/>
        <v>14.04</v>
      </c>
      <c r="G17" s="11">
        <f t="shared" si="2"/>
        <v>14.04</v>
      </c>
      <c r="H17" s="11">
        <f t="shared" si="3"/>
        <v>10.712</v>
      </c>
      <c r="I17" s="6"/>
      <c r="J17" s="10" t="str">
        <f t="shared" si="4"/>
        <v/>
      </c>
      <c r="K17" s="6"/>
      <c r="L17" s="6" t="str">
        <f t="shared" si="5"/>
        <v>EXAME</v>
      </c>
      <c r="M17" s="7">
        <v>15</v>
      </c>
      <c r="N17" s="7">
        <v>0</v>
      </c>
      <c r="O17" s="7">
        <v>14</v>
      </c>
      <c r="P17" s="7">
        <v>13</v>
      </c>
      <c r="Q17" s="7">
        <v>15</v>
      </c>
      <c r="R17" s="7">
        <v>13</v>
      </c>
      <c r="S17" s="7">
        <v>0</v>
      </c>
      <c r="T17" s="7">
        <v>0</v>
      </c>
      <c r="U17" s="7"/>
      <c r="V17" s="7"/>
      <c r="W17" s="7"/>
      <c r="X17" s="7"/>
      <c r="Y17" s="7"/>
      <c r="Z17" s="7"/>
      <c r="AA17" s="7"/>
      <c r="AB17" s="7"/>
      <c r="AC17" s="48">
        <v>19.600000000000001</v>
      </c>
      <c r="AD17" s="48">
        <v>18</v>
      </c>
      <c r="AE17" s="48">
        <f t="shared" si="6"/>
        <v>18.8</v>
      </c>
      <c r="AF17" s="48">
        <v>12</v>
      </c>
      <c r="AG17" s="48"/>
      <c r="AH17" s="48"/>
      <c r="AI17" s="7"/>
      <c r="AJ17" s="7"/>
      <c r="AK17" s="7"/>
      <c r="AL17" s="7"/>
    </row>
    <row r="18" spans="1:38" ht="18" x14ac:dyDescent="0.35">
      <c r="A18" s="62" t="s">
        <v>264</v>
      </c>
      <c r="B18" s="9" t="s">
        <v>239</v>
      </c>
      <c r="C18" s="10">
        <f t="shared" si="0"/>
        <v>7.25</v>
      </c>
      <c r="D18" s="6">
        <v>13</v>
      </c>
      <c r="E18" s="6">
        <v>13</v>
      </c>
      <c r="F18" s="11">
        <f t="shared" si="1"/>
        <v>12.205</v>
      </c>
      <c r="G18" s="11">
        <f t="shared" si="2"/>
        <v>12.205</v>
      </c>
      <c r="H18" s="11">
        <f t="shared" si="3"/>
        <v>10.461499999999999</v>
      </c>
      <c r="I18" s="6"/>
      <c r="J18" s="10" t="str">
        <f t="shared" si="4"/>
        <v/>
      </c>
      <c r="K18" s="6"/>
      <c r="L18" s="6" t="str">
        <f t="shared" si="5"/>
        <v>EXAME</v>
      </c>
      <c r="M18" s="7">
        <v>15</v>
      </c>
      <c r="N18" s="7">
        <v>0</v>
      </c>
      <c r="O18" s="7">
        <v>15</v>
      </c>
      <c r="P18" s="7">
        <v>0</v>
      </c>
      <c r="Q18" s="7">
        <v>15</v>
      </c>
      <c r="R18" s="7">
        <v>0</v>
      </c>
      <c r="S18" s="7">
        <v>0</v>
      </c>
      <c r="T18" s="7">
        <v>13</v>
      </c>
      <c r="U18" s="7"/>
      <c r="V18" s="7"/>
      <c r="W18" s="7"/>
      <c r="X18" s="7"/>
      <c r="Y18" s="7"/>
      <c r="Z18" s="7"/>
      <c r="AA18" s="7"/>
      <c r="AB18" s="7"/>
      <c r="AC18" s="48">
        <v>16.7</v>
      </c>
      <c r="AD18" s="48">
        <v>18</v>
      </c>
      <c r="AE18" s="48">
        <f t="shared" si="6"/>
        <v>17.350000000000001</v>
      </c>
      <c r="AF18" s="48">
        <v>10</v>
      </c>
      <c r="AG18" s="48"/>
      <c r="AH18" s="48"/>
      <c r="AI18" s="7"/>
      <c r="AJ18" s="7"/>
      <c r="AK18" s="7"/>
      <c r="AL18" s="7"/>
    </row>
    <row r="19" spans="1:38" ht="18" x14ac:dyDescent="0.35">
      <c r="A19" s="63" t="s">
        <v>265</v>
      </c>
      <c r="B19" s="9" t="s">
        <v>240</v>
      </c>
      <c r="C19" s="10">
        <f t="shared" si="0"/>
        <v>5.875</v>
      </c>
      <c r="D19" s="6">
        <v>14</v>
      </c>
      <c r="E19" s="6">
        <v>0</v>
      </c>
      <c r="F19" s="11">
        <f t="shared" si="1"/>
        <v>7.3599999999999994</v>
      </c>
      <c r="G19" s="11">
        <f t="shared" si="2"/>
        <v>7.3599999999999994</v>
      </c>
      <c r="H19" s="11">
        <f t="shared" si="3"/>
        <v>6.6579999999999995</v>
      </c>
      <c r="I19" s="6"/>
      <c r="J19" s="10" t="str">
        <f t="shared" si="4"/>
        <v/>
      </c>
      <c r="K19" s="6"/>
      <c r="L19" s="6" t="str">
        <f t="shared" si="5"/>
        <v>EXAME</v>
      </c>
      <c r="M19" s="43">
        <v>20</v>
      </c>
      <c r="N19" s="7">
        <v>0</v>
      </c>
      <c r="O19" s="7">
        <v>14</v>
      </c>
      <c r="P19" s="7">
        <v>0</v>
      </c>
      <c r="Q19" s="7">
        <v>0</v>
      </c>
      <c r="R19" s="7">
        <v>13</v>
      </c>
      <c r="S19" s="7">
        <v>0</v>
      </c>
      <c r="T19" s="7">
        <v>0</v>
      </c>
      <c r="U19" s="7"/>
      <c r="V19" s="7"/>
      <c r="W19" s="7"/>
      <c r="X19" s="7"/>
      <c r="Y19" s="7"/>
      <c r="Z19" s="7"/>
      <c r="AA19" s="7"/>
      <c r="AB19" s="7"/>
      <c r="AC19" s="48">
        <v>16.399999999999999</v>
      </c>
      <c r="AD19" s="48">
        <v>0</v>
      </c>
      <c r="AE19" s="48">
        <f t="shared" si="6"/>
        <v>8.1999999999999993</v>
      </c>
      <c r="AF19" s="48">
        <v>7</v>
      </c>
      <c r="AG19" s="48"/>
      <c r="AH19" s="48"/>
      <c r="AI19" s="7"/>
      <c r="AJ19" s="7"/>
      <c r="AK19" s="7"/>
      <c r="AL19" s="7"/>
    </row>
    <row r="20" spans="1:38" ht="18" x14ac:dyDescent="0.35">
      <c r="A20" s="62">
        <v>22119148</v>
      </c>
      <c r="B20" s="9" t="s">
        <v>241</v>
      </c>
      <c r="C20" s="10">
        <f t="shared" si="0"/>
        <v>10.5</v>
      </c>
      <c r="D20" s="6">
        <v>16</v>
      </c>
      <c r="E20" s="6">
        <v>10</v>
      </c>
      <c r="F20" s="11">
        <f t="shared" si="1"/>
        <v>13.274999999999999</v>
      </c>
      <c r="G20" s="11">
        <f t="shared" si="2"/>
        <v>13.274999999999999</v>
      </c>
      <c r="H20" s="11">
        <f t="shared" si="3"/>
        <v>12.0825</v>
      </c>
      <c r="I20" s="6"/>
      <c r="J20" s="10" t="str">
        <f t="shared" si="4"/>
        <v/>
      </c>
      <c r="K20" s="6"/>
      <c r="L20" s="6" t="str">
        <f t="shared" si="5"/>
        <v>EXAME</v>
      </c>
      <c r="M20" s="7">
        <v>0</v>
      </c>
      <c r="N20" s="7">
        <v>0</v>
      </c>
      <c r="O20" s="7">
        <v>16</v>
      </c>
      <c r="P20" s="7">
        <v>13</v>
      </c>
      <c r="Q20" s="7">
        <v>15</v>
      </c>
      <c r="R20" s="7">
        <v>13</v>
      </c>
      <c r="S20" s="7">
        <v>14</v>
      </c>
      <c r="T20" s="7">
        <v>13</v>
      </c>
      <c r="U20" s="7"/>
      <c r="V20" s="7"/>
      <c r="W20" s="7"/>
      <c r="X20" s="7"/>
      <c r="Y20" s="7"/>
      <c r="Z20" s="7"/>
      <c r="AA20" s="7"/>
      <c r="AB20" s="7"/>
      <c r="AC20" s="48">
        <v>18.5</v>
      </c>
      <c r="AD20" s="48">
        <v>14</v>
      </c>
      <c r="AE20" s="48">
        <f t="shared" si="6"/>
        <v>16.25</v>
      </c>
      <c r="AF20" s="48">
        <v>12</v>
      </c>
      <c r="AG20" s="48"/>
      <c r="AH20" s="48"/>
      <c r="AI20" s="7"/>
      <c r="AJ20" s="7"/>
      <c r="AK20" s="7"/>
      <c r="AL20" s="7"/>
    </row>
    <row r="21" spans="1:38" ht="18" x14ac:dyDescent="0.35">
      <c r="A21" s="63">
        <v>22108755</v>
      </c>
      <c r="B21" s="9" t="s">
        <v>242</v>
      </c>
      <c r="C21" s="10">
        <f t="shared" si="0"/>
        <v>10.625</v>
      </c>
      <c r="D21" s="6">
        <v>19</v>
      </c>
      <c r="E21" s="6">
        <v>10</v>
      </c>
      <c r="F21" s="11">
        <f t="shared" si="1"/>
        <v>13.52</v>
      </c>
      <c r="G21" s="11">
        <f t="shared" si="2"/>
        <v>13.52</v>
      </c>
      <c r="H21" s="11">
        <f t="shared" si="3"/>
        <v>12.655999999999999</v>
      </c>
      <c r="I21" s="6"/>
      <c r="J21" s="10" t="str">
        <f t="shared" si="4"/>
        <v/>
      </c>
      <c r="K21" s="6"/>
      <c r="L21" s="6" t="str">
        <f t="shared" si="5"/>
        <v>EXAME</v>
      </c>
      <c r="M21" s="7">
        <v>15</v>
      </c>
      <c r="N21" s="7">
        <v>0</v>
      </c>
      <c r="O21" s="7">
        <v>15</v>
      </c>
      <c r="P21" s="7">
        <v>13</v>
      </c>
      <c r="Q21" s="7">
        <v>15</v>
      </c>
      <c r="R21" s="7">
        <v>13</v>
      </c>
      <c r="S21" s="7">
        <v>14</v>
      </c>
      <c r="T21" s="7">
        <v>0</v>
      </c>
      <c r="U21" s="7"/>
      <c r="V21" s="7"/>
      <c r="W21" s="7"/>
      <c r="X21" s="7"/>
      <c r="Y21" s="7"/>
      <c r="Z21" s="7"/>
      <c r="AA21" s="7"/>
      <c r="AB21" s="7"/>
      <c r="AC21" s="48">
        <v>19.8</v>
      </c>
      <c r="AD21" s="48">
        <v>5</v>
      </c>
      <c r="AE21" s="48">
        <f t="shared" si="6"/>
        <v>12.4</v>
      </c>
      <c r="AF21" s="48">
        <v>14</v>
      </c>
      <c r="AG21" s="48"/>
      <c r="AH21" s="48"/>
      <c r="AI21" s="7"/>
      <c r="AJ21" s="7"/>
      <c r="AK21" s="7"/>
      <c r="AL21" s="7"/>
    </row>
    <row r="22" spans="1:38" ht="18" x14ac:dyDescent="0.35">
      <c r="A22" s="62" t="s">
        <v>266</v>
      </c>
      <c r="B22" s="9" t="s">
        <v>243</v>
      </c>
      <c r="C22" s="10">
        <f t="shared" si="0"/>
        <v>12.25</v>
      </c>
      <c r="D22" s="6">
        <v>13</v>
      </c>
      <c r="E22" s="6">
        <v>12</v>
      </c>
      <c r="F22" s="11">
        <f t="shared" si="1"/>
        <v>10.895</v>
      </c>
      <c r="G22" s="11">
        <f t="shared" si="2"/>
        <v>10.895</v>
      </c>
      <c r="H22" s="11">
        <f t="shared" si="3"/>
        <v>11.9185</v>
      </c>
      <c r="I22" s="6"/>
      <c r="J22" s="10" t="str">
        <f t="shared" si="4"/>
        <v/>
      </c>
      <c r="K22" s="6"/>
      <c r="L22" s="6" t="str">
        <f t="shared" si="5"/>
        <v>EXAME</v>
      </c>
      <c r="M22" s="7">
        <v>15</v>
      </c>
      <c r="N22" s="7">
        <v>0</v>
      </c>
      <c r="O22" s="7">
        <v>15</v>
      </c>
      <c r="P22" s="7">
        <v>13</v>
      </c>
      <c r="Q22" s="7">
        <v>15</v>
      </c>
      <c r="R22" s="7">
        <v>13</v>
      </c>
      <c r="S22" s="7">
        <v>14</v>
      </c>
      <c r="T22" s="7">
        <v>13</v>
      </c>
      <c r="U22" s="7"/>
      <c r="V22" s="7"/>
      <c r="W22" s="7"/>
      <c r="X22" s="7"/>
      <c r="Y22" s="7"/>
      <c r="Z22" s="7"/>
      <c r="AA22" s="7"/>
      <c r="AB22" s="7"/>
      <c r="AC22" s="48">
        <v>19.3</v>
      </c>
      <c r="AD22" s="48">
        <v>16</v>
      </c>
      <c r="AE22" s="48">
        <f t="shared" si="6"/>
        <v>17.649999999999999</v>
      </c>
      <c r="AF22" s="48">
        <v>8</v>
      </c>
      <c r="AG22" s="48"/>
      <c r="AH22" s="48"/>
      <c r="AI22" s="7"/>
      <c r="AJ22" s="7"/>
      <c r="AK22" s="7"/>
      <c r="AL22" s="7"/>
    </row>
    <row r="23" spans="1:38" ht="18" x14ac:dyDescent="0.35">
      <c r="A23" s="63" t="s">
        <v>267</v>
      </c>
      <c r="B23" s="9" t="s">
        <v>244</v>
      </c>
      <c r="C23" s="10">
        <f t="shared" si="0"/>
        <v>0</v>
      </c>
      <c r="D23" s="6" t="s">
        <v>15</v>
      </c>
      <c r="E23" s="6" t="s">
        <v>15</v>
      </c>
      <c r="F23" s="11">
        <f t="shared" si="1"/>
        <v>0</v>
      </c>
      <c r="G23" s="11">
        <f t="shared" si="2"/>
        <v>0</v>
      </c>
      <c r="H23" s="11">
        <f t="shared" si="3"/>
        <v>0</v>
      </c>
      <c r="I23" s="6"/>
      <c r="J23" s="10" t="str">
        <f t="shared" si="4"/>
        <v/>
      </c>
      <c r="K23" s="6"/>
      <c r="L23" s="6" t="str">
        <f t="shared" si="5"/>
        <v>REPROVADO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/>
      <c r="V23" s="7"/>
      <c r="W23" s="7"/>
      <c r="X23" s="7"/>
      <c r="Y23" s="7"/>
      <c r="Z23" s="7"/>
      <c r="AA23" s="7"/>
      <c r="AB23" s="7"/>
      <c r="AC23" s="48" t="s">
        <v>15</v>
      </c>
      <c r="AD23" s="48" t="s">
        <v>15</v>
      </c>
      <c r="AE23" s="48">
        <f t="shared" si="6"/>
        <v>0</v>
      </c>
      <c r="AF23" s="48" t="s">
        <v>15</v>
      </c>
      <c r="AG23" s="48"/>
      <c r="AH23" s="48"/>
      <c r="AI23" s="7"/>
      <c r="AJ23" s="7"/>
      <c r="AK23" s="7"/>
      <c r="AL23" s="7"/>
    </row>
    <row r="24" spans="1:38" ht="18" x14ac:dyDescent="0.35">
      <c r="A24" s="62" t="s">
        <v>268</v>
      </c>
      <c r="B24" s="9" t="s">
        <v>245</v>
      </c>
      <c r="C24" s="10">
        <f t="shared" si="0"/>
        <v>9.25</v>
      </c>
      <c r="D24" s="6">
        <v>16</v>
      </c>
      <c r="E24" s="6">
        <v>6</v>
      </c>
      <c r="F24" s="11">
        <f t="shared" si="1"/>
        <v>12.154999999999999</v>
      </c>
      <c r="G24" s="11">
        <f t="shared" si="2"/>
        <v>12.154999999999999</v>
      </c>
      <c r="H24" s="11">
        <f t="shared" si="3"/>
        <v>10.6465</v>
      </c>
      <c r="I24" s="6"/>
      <c r="J24" s="10" t="str">
        <f t="shared" si="4"/>
        <v/>
      </c>
      <c r="K24" s="6"/>
      <c r="L24" s="6" t="str">
        <f t="shared" si="5"/>
        <v>EXAME</v>
      </c>
      <c r="M24" s="7">
        <v>15</v>
      </c>
      <c r="N24" s="7">
        <v>0</v>
      </c>
      <c r="O24" s="7">
        <v>8</v>
      </c>
      <c r="P24" s="7">
        <v>13</v>
      </c>
      <c r="Q24" s="7">
        <v>15</v>
      </c>
      <c r="R24" s="7">
        <v>10</v>
      </c>
      <c r="S24" s="7">
        <v>0</v>
      </c>
      <c r="T24" s="7">
        <v>13</v>
      </c>
      <c r="U24" s="7"/>
      <c r="V24" s="7"/>
      <c r="W24" s="7"/>
      <c r="X24" s="7"/>
      <c r="Y24" s="7"/>
      <c r="Z24" s="7"/>
      <c r="AA24" s="7"/>
      <c r="AB24" s="7"/>
      <c r="AC24" s="48">
        <v>15.7</v>
      </c>
      <c r="AD24" s="48">
        <v>0</v>
      </c>
      <c r="AE24" s="48">
        <f t="shared" si="6"/>
        <v>7.85</v>
      </c>
      <c r="AF24" s="48">
        <v>14</v>
      </c>
      <c r="AG24" s="48"/>
      <c r="AH24" s="48"/>
      <c r="AI24" s="7"/>
      <c r="AJ24" s="7"/>
      <c r="AK24" s="7"/>
      <c r="AL24" s="7"/>
    </row>
    <row r="25" spans="1:38" ht="18" x14ac:dyDescent="0.35">
      <c r="A25" s="63" t="s">
        <v>269</v>
      </c>
      <c r="B25" s="9" t="s">
        <v>246</v>
      </c>
      <c r="C25" s="10">
        <f t="shared" si="0"/>
        <v>12.25</v>
      </c>
      <c r="D25" s="6">
        <v>14</v>
      </c>
      <c r="E25" s="6">
        <v>3</v>
      </c>
      <c r="F25" s="11">
        <f t="shared" si="1"/>
        <v>10.95</v>
      </c>
      <c r="G25" s="11">
        <f t="shared" si="2"/>
        <v>10.95</v>
      </c>
      <c r="H25" s="11">
        <f t="shared" si="3"/>
        <v>10.734999999999999</v>
      </c>
      <c r="I25" s="6"/>
      <c r="J25" s="10" t="str">
        <f t="shared" si="4"/>
        <v/>
      </c>
      <c r="K25" s="6"/>
      <c r="L25" s="6" t="str">
        <f t="shared" si="5"/>
        <v>EXAME</v>
      </c>
      <c r="M25" s="7">
        <v>15</v>
      </c>
      <c r="N25" s="7">
        <v>0</v>
      </c>
      <c r="O25" s="7">
        <v>15</v>
      </c>
      <c r="P25" s="7">
        <v>13</v>
      </c>
      <c r="Q25" s="7">
        <v>15</v>
      </c>
      <c r="R25" s="7">
        <v>13</v>
      </c>
      <c r="S25" s="7">
        <v>14</v>
      </c>
      <c r="T25" s="7">
        <v>13</v>
      </c>
      <c r="U25" s="7"/>
      <c r="V25" s="7"/>
      <c r="W25" s="7"/>
      <c r="X25" s="7"/>
      <c r="Y25" s="7"/>
      <c r="Z25" s="7"/>
      <c r="AA25" s="7"/>
      <c r="AB25" s="7"/>
      <c r="AC25" s="48">
        <v>17</v>
      </c>
      <c r="AD25" s="48">
        <v>0</v>
      </c>
      <c r="AE25" s="48">
        <f t="shared" si="6"/>
        <v>8.5</v>
      </c>
      <c r="AF25" s="48">
        <v>12</v>
      </c>
      <c r="AG25" s="48"/>
      <c r="AH25" s="48"/>
      <c r="AI25" s="7"/>
      <c r="AJ25" s="7"/>
      <c r="AK25" s="7"/>
      <c r="AL25" s="7"/>
    </row>
    <row r="26" spans="1:38" ht="18" x14ac:dyDescent="0.35">
      <c r="A26" s="62" t="s">
        <v>270</v>
      </c>
      <c r="B26" s="9" t="s">
        <v>247</v>
      </c>
      <c r="C26" s="10">
        <f t="shared" si="0"/>
        <v>8.875</v>
      </c>
      <c r="D26" s="6">
        <v>17</v>
      </c>
      <c r="E26" s="6">
        <v>10</v>
      </c>
      <c r="F26" s="11">
        <f t="shared" si="1"/>
        <v>14.45</v>
      </c>
      <c r="G26" s="11">
        <f t="shared" si="2"/>
        <v>14.45</v>
      </c>
      <c r="H26" s="11">
        <f t="shared" si="3"/>
        <v>11.935</v>
      </c>
      <c r="I26" s="6"/>
      <c r="J26" s="10" t="str">
        <f t="shared" si="4"/>
        <v/>
      </c>
      <c r="K26" s="6"/>
      <c r="L26" s="6" t="str">
        <f t="shared" si="5"/>
        <v>EXAME</v>
      </c>
      <c r="M26" s="7">
        <v>15</v>
      </c>
      <c r="N26" s="7">
        <v>0</v>
      </c>
      <c r="O26" s="7">
        <v>15</v>
      </c>
      <c r="P26" s="7">
        <v>13</v>
      </c>
      <c r="Q26" s="7">
        <v>15</v>
      </c>
      <c r="R26" s="7">
        <v>0</v>
      </c>
      <c r="S26" s="7">
        <v>0</v>
      </c>
      <c r="T26" s="7">
        <v>13</v>
      </c>
      <c r="U26" s="7"/>
      <c r="V26" s="7"/>
      <c r="W26" s="7"/>
      <c r="X26" s="7"/>
      <c r="Y26" s="7"/>
      <c r="Z26" s="7"/>
      <c r="AA26" s="7"/>
      <c r="AB26" s="7"/>
      <c r="AC26" s="48">
        <v>19</v>
      </c>
      <c r="AD26" s="48">
        <v>12</v>
      </c>
      <c r="AE26" s="48">
        <f t="shared" si="6"/>
        <v>15.5</v>
      </c>
      <c r="AF26" s="48">
        <v>14</v>
      </c>
      <c r="AG26" s="48"/>
      <c r="AH26" s="48"/>
      <c r="AI26" s="7"/>
      <c r="AJ26" s="7"/>
      <c r="AK26" s="7"/>
      <c r="AL26" s="7"/>
    </row>
    <row r="27" spans="1:38" ht="18" x14ac:dyDescent="0.35">
      <c r="A27" s="63" t="s">
        <v>271</v>
      </c>
      <c r="B27" s="9" t="s">
        <v>248</v>
      </c>
      <c r="C27" s="10">
        <f t="shared" si="0"/>
        <v>7</v>
      </c>
      <c r="D27" s="6">
        <v>16</v>
      </c>
      <c r="E27" s="6">
        <v>0</v>
      </c>
      <c r="F27" s="11">
        <f t="shared" si="1"/>
        <v>11.279999999999998</v>
      </c>
      <c r="G27" s="11">
        <f t="shared" si="2"/>
        <v>11.279999999999998</v>
      </c>
      <c r="H27" s="11">
        <f t="shared" si="3"/>
        <v>8.5839999999999996</v>
      </c>
      <c r="I27" s="6"/>
      <c r="J27" s="10" t="str">
        <f t="shared" si="4"/>
        <v/>
      </c>
      <c r="K27" s="6"/>
      <c r="L27" s="6" t="str">
        <f t="shared" si="5"/>
        <v>EXAME</v>
      </c>
      <c r="M27" s="7">
        <v>15</v>
      </c>
      <c r="N27" s="7">
        <v>0</v>
      </c>
      <c r="O27" s="7">
        <v>0</v>
      </c>
      <c r="P27" s="7">
        <v>13</v>
      </c>
      <c r="Q27" s="7">
        <v>15</v>
      </c>
      <c r="R27" s="7">
        <v>13</v>
      </c>
      <c r="S27" s="7">
        <v>0</v>
      </c>
      <c r="T27" s="7">
        <v>0</v>
      </c>
      <c r="U27" s="7"/>
      <c r="V27" s="7"/>
      <c r="W27" s="7"/>
      <c r="X27" s="7"/>
      <c r="Y27" s="7"/>
      <c r="Z27" s="7"/>
      <c r="AA27" s="7"/>
      <c r="AB27" s="7"/>
      <c r="AC27" s="48">
        <v>19.2</v>
      </c>
      <c r="AD27" s="48">
        <v>0</v>
      </c>
      <c r="AE27" s="48">
        <f t="shared" si="6"/>
        <v>9.6</v>
      </c>
      <c r="AF27" s="48">
        <v>12</v>
      </c>
      <c r="AG27" s="48"/>
      <c r="AH27" s="48"/>
      <c r="AI27" s="7"/>
      <c r="AJ27" s="7"/>
      <c r="AK27" s="7"/>
      <c r="AL27" s="7"/>
    </row>
    <row r="28" spans="1:38" ht="18" x14ac:dyDescent="0.35">
      <c r="A28" s="62" t="s">
        <v>272</v>
      </c>
      <c r="B28" s="9" t="s">
        <v>249</v>
      </c>
      <c r="C28" s="10">
        <f t="shared" si="0"/>
        <v>7</v>
      </c>
      <c r="D28" s="6">
        <v>17</v>
      </c>
      <c r="E28" s="6">
        <v>8</v>
      </c>
      <c r="F28" s="11">
        <f t="shared" si="1"/>
        <v>5.6</v>
      </c>
      <c r="G28" s="11">
        <f t="shared" si="2"/>
        <v>5.6</v>
      </c>
      <c r="H28" s="11">
        <f t="shared" si="3"/>
        <v>8.23</v>
      </c>
      <c r="I28" s="6"/>
      <c r="J28" s="10" t="str">
        <f t="shared" si="4"/>
        <v/>
      </c>
      <c r="K28" s="6"/>
      <c r="L28" s="6" t="str">
        <f t="shared" si="5"/>
        <v>EXAME</v>
      </c>
      <c r="M28" s="7">
        <v>15</v>
      </c>
      <c r="N28" s="7">
        <v>0</v>
      </c>
      <c r="O28" s="7">
        <v>0</v>
      </c>
      <c r="P28" s="7">
        <v>0</v>
      </c>
      <c r="Q28" s="7">
        <v>15</v>
      </c>
      <c r="R28" s="7">
        <v>13</v>
      </c>
      <c r="S28" s="7">
        <v>0</v>
      </c>
      <c r="T28" s="7">
        <v>13</v>
      </c>
      <c r="U28" s="7"/>
      <c r="V28" s="7"/>
      <c r="W28" s="7"/>
      <c r="X28" s="7"/>
      <c r="Y28" s="7"/>
      <c r="Z28" s="7"/>
      <c r="AA28" s="7"/>
      <c r="AB28" s="7"/>
      <c r="AC28" s="48" t="s">
        <v>15</v>
      </c>
      <c r="AD28" s="48" t="s">
        <v>15</v>
      </c>
      <c r="AE28" s="48">
        <f t="shared" si="6"/>
        <v>0</v>
      </c>
      <c r="AF28" s="48">
        <v>8</v>
      </c>
      <c r="AG28" s="48"/>
      <c r="AH28" s="48"/>
      <c r="AI28" s="7"/>
      <c r="AJ28" s="7"/>
      <c r="AK28" s="7"/>
      <c r="AL28" s="7"/>
    </row>
    <row r="29" spans="1:38" ht="18" x14ac:dyDescent="0.35">
      <c r="A29" s="63" t="s">
        <v>273</v>
      </c>
      <c r="B29" s="49" t="s">
        <v>250</v>
      </c>
      <c r="C29" s="10">
        <f t="shared" si="0"/>
        <v>1.625</v>
      </c>
      <c r="D29" s="6">
        <v>12</v>
      </c>
      <c r="E29" s="6">
        <v>2</v>
      </c>
      <c r="F29" s="11">
        <f t="shared" si="1"/>
        <v>5.8</v>
      </c>
      <c r="G29" s="11">
        <f t="shared" si="2"/>
        <v>5.8</v>
      </c>
      <c r="H29" s="11">
        <f t="shared" si="3"/>
        <v>4.49</v>
      </c>
      <c r="I29" s="6"/>
      <c r="J29" s="10" t="str">
        <f t="shared" si="4"/>
        <v/>
      </c>
      <c r="K29" s="6"/>
      <c r="L29" s="6" t="str">
        <f t="shared" si="5"/>
        <v>REPROVADO</v>
      </c>
      <c r="M29" s="7">
        <v>0</v>
      </c>
      <c r="N29" s="7">
        <v>0</v>
      </c>
      <c r="O29" s="7">
        <v>13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/>
      <c r="V29" s="7"/>
      <c r="W29" s="7"/>
      <c r="X29" s="7"/>
      <c r="Y29" s="7"/>
      <c r="Z29" s="7"/>
      <c r="AA29" s="7"/>
      <c r="AB29" s="7"/>
      <c r="AC29" s="48">
        <v>20</v>
      </c>
      <c r="AD29" s="48">
        <v>0</v>
      </c>
      <c r="AE29" s="48">
        <f t="shared" si="6"/>
        <v>10</v>
      </c>
      <c r="AF29" s="48">
        <v>4</v>
      </c>
      <c r="AG29" s="48"/>
      <c r="AH29" s="48"/>
      <c r="AI29" s="7"/>
      <c r="AJ29" s="7"/>
      <c r="AK29" s="7"/>
      <c r="AL29" s="7"/>
    </row>
    <row r="30" spans="1:38" ht="15.75" customHeight="1" x14ac:dyDescent="0.3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I30" s="24"/>
      <c r="AJ30" s="24"/>
      <c r="AK30" s="24"/>
      <c r="AL30" s="24"/>
    </row>
    <row r="31" spans="1:38" ht="15.75" customHeight="1" x14ac:dyDescent="0.3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I31" s="24"/>
      <c r="AJ31" s="24"/>
      <c r="AK31" s="24"/>
      <c r="AL31" s="24"/>
    </row>
    <row r="32" spans="1:38" ht="15.75" customHeight="1" x14ac:dyDescent="0.3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I32" s="24"/>
      <c r="AJ32" s="24"/>
      <c r="AK32" s="24"/>
      <c r="AL32" s="24"/>
    </row>
    <row r="33" spans="1:38" ht="15.75" customHeight="1" x14ac:dyDescent="0.3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I33" s="24"/>
      <c r="AJ33" s="24"/>
      <c r="AK33" s="24"/>
      <c r="AL33" s="24"/>
    </row>
    <row r="34" spans="1:38" ht="15.75" customHeight="1" x14ac:dyDescent="0.3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I34" s="24"/>
      <c r="AJ34" s="24"/>
      <c r="AK34" s="24"/>
      <c r="AL34" s="24"/>
    </row>
    <row r="35" spans="1:38" ht="15.75" customHeight="1" x14ac:dyDescent="0.3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I35" s="24"/>
      <c r="AJ35" s="24"/>
      <c r="AK35" s="24"/>
      <c r="AL35" s="24"/>
    </row>
    <row r="36" spans="1:38" ht="15.75" customHeight="1" x14ac:dyDescent="0.3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I36" s="24"/>
      <c r="AJ36" s="24"/>
      <c r="AK36" s="24"/>
      <c r="AL36" s="24"/>
    </row>
    <row r="37" spans="1:38" ht="15.75" customHeight="1" x14ac:dyDescent="0.3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I37" s="24"/>
      <c r="AJ37" s="24"/>
      <c r="AK37" s="24"/>
      <c r="AL37" s="24"/>
    </row>
    <row r="38" spans="1:38" ht="15.75" customHeight="1" x14ac:dyDescent="0.3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I38" s="24"/>
      <c r="AJ38" s="24"/>
      <c r="AK38" s="24"/>
      <c r="AL38" s="24"/>
    </row>
    <row r="39" spans="1:38" ht="15.75" customHeight="1" x14ac:dyDescent="0.3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I39" s="24"/>
      <c r="AJ39" s="24"/>
      <c r="AK39" s="24"/>
      <c r="AL39" s="24"/>
    </row>
    <row r="40" spans="1:38" ht="15.75" customHeight="1" x14ac:dyDescent="0.3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I40" s="24"/>
      <c r="AJ40" s="24"/>
      <c r="AK40" s="24"/>
      <c r="AL40" s="24"/>
    </row>
    <row r="41" spans="1:38" ht="15.75" customHeight="1" x14ac:dyDescent="0.3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I41" s="24"/>
      <c r="AJ41" s="24"/>
      <c r="AK41" s="24"/>
      <c r="AL41" s="24"/>
    </row>
    <row r="42" spans="1:38" ht="15.75" customHeight="1" x14ac:dyDescent="0.3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I42" s="24"/>
      <c r="AJ42" s="24"/>
      <c r="AK42" s="24"/>
      <c r="AL42" s="24"/>
    </row>
    <row r="43" spans="1:38" ht="15.75" customHeight="1" x14ac:dyDescent="0.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I43" s="24"/>
      <c r="AJ43" s="24"/>
      <c r="AK43" s="24"/>
      <c r="AL43" s="24"/>
    </row>
    <row r="44" spans="1:38" ht="15.75" customHeight="1" x14ac:dyDescent="0.3">
      <c r="A44" s="24"/>
      <c r="B44" s="24"/>
      <c r="C44" s="25"/>
      <c r="D44" s="28"/>
      <c r="E44" s="24"/>
      <c r="F44" s="24"/>
      <c r="G44" s="24"/>
      <c r="H44" s="24"/>
      <c r="I44" s="24"/>
      <c r="J44" s="24"/>
      <c r="K44" s="24"/>
      <c r="L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I44" s="24"/>
      <c r="AJ44" s="24"/>
      <c r="AK44" s="24"/>
      <c r="AL44" s="24"/>
    </row>
    <row r="45" spans="1:38" ht="15.75" customHeight="1" x14ac:dyDescent="0.3">
      <c r="A45" s="24"/>
      <c r="B45" s="24"/>
      <c r="C45" s="25"/>
      <c r="D45" s="28"/>
      <c r="E45" s="24"/>
      <c r="F45" s="24"/>
      <c r="G45" s="24"/>
      <c r="H45" s="24"/>
      <c r="I45" s="24"/>
      <c r="J45" s="24"/>
      <c r="K45" s="24"/>
      <c r="L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I45" s="24"/>
      <c r="AJ45" s="24"/>
      <c r="AK45" s="24"/>
      <c r="AL45" s="24"/>
    </row>
    <row r="46" spans="1:38" ht="15.75" customHeight="1" x14ac:dyDescent="0.3">
      <c r="A46" s="24"/>
      <c r="B46" s="24"/>
      <c r="C46" s="25"/>
      <c r="D46" s="24"/>
      <c r="E46" s="24"/>
      <c r="F46" s="24"/>
      <c r="G46" s="24"/>
      <c r="H46" s="24"/>
      <c r="I46" s="24"/>
      <c r="J46" s="24"/>
      <c r="K46" s="24"/>
      <c r="L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I46" s="24"/>
      <c r="AJ46" s="24"/>
      <c r="AK46" s="24"/>
      <c r="AL46" s="24"/>
    </row>
    <row r="47" spans="1:38" ht="15.75" customHeight="1" x14ac:dyDescent="0.3">
      <c r="A47" s="24"/>
      <c r="B47" s="24"/>
      <c r="C47" s="25"/>
      <c r="D47" s="24"/>
      <c r="E47" s="24"/>
      <c r="F47" s="24"/>
      <c r="G47" s="24"/>
      <c r="H47" s="24"/>
      <c r="I47" s="24"/>
      <c r="J47" s="24"/>
      <c r="K47" s="24"/>
      <c r="L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I47" s="24"/>
      <c r="AJ47" s="24"/>
      <c r="AK47" s="24"/>
      <c r="AL47" s="24"/>
    </row>
    <row r="48" spans="1:38" ht="15.75" customHeight="1" x14ac:dyDescent="0.3">
      <c r="A48" s="24"/>
      <c r="B48" s="24"/>
      <c r="C48" s="25"/>
      <c r="D48" s="28"/>
      <c r="E48" s="24"/>
      <c r="F48" s="24"/>
      <c r="G48" s="24"/>
      <c r="H48" s="24"/>
      <c r="I48" s="24"/>
      <c r="J48" s="24"/>
      <c r="K48" s="24"/>
      <c r="L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I48" s="24"/>
      <c r="AJ48" s="24"/>
      <c r="AK48" s="24"/>
      <c r="AL48" s="24"/>
    </row>
    <row r="49" spans="1:38" ht="15.75" customHeight="1" x14ac:dyDescent="0.3">
      <c r="A49" s="24"/>
      <c r="B49" s="24"/>
      <c r="C49" s="25"/>
      <c r="D49" s="24"/>
      <c r="E49" s="24"/>
      <c r="F49" s="24"/>
      <c r="G49" s="24"/>
      <c r="H49" s="24"/>
      <c r="I49" s="24"/>
      <c r="J49" s="24"/>
      <c r="K49" s="24"/>
      <c r="L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I49" s="24"/>
      <c r="AJ49" s="24"/>
      <c r="AK49" s="24"/>
      <c r="AL49" s="24"/>
    </row>
    <row r="50" spans="1:38" ht="15.75" customHeight="1" x14ac:dyDescent="0.3">
      <c r="A50" s="24"/>
      <c r="B50" s="24"/>
      <c r="C50" s="25"/>
      <c r="D50" s="24"/>
      <c r="E50" s="24"/>
      <c r="F50" s="24"/>
      <c r="G50" s="24"/>
      <c r="H50" s="24"/>
      <c r="I50" s="24"/>
      <c r="J50" s="24"/>
      <c r="K50" s="24"/>
      <c r="L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I50" s="24"/>
      <c r="AJ50" s="24"/>
      <c r="AK50" s="24"/>
      <c r="AL50" s="24"/>
    </row>
    <row r="51" spans="1:38" ht="15.75" customHeight="1" x14ac:dyDescent="0.3">
      <c r="A51" s="24"/>
      <c r="B51" s="24"/>
      <c r="C51" s="25"/>
      <c r="D51" s="28"/>
      <c r="E51" s="24"/>
      <c r="F51" s="24"/>
      <c r="G51" s="24"/>
      <c r="H51" s="24"/>
      <c r="I51" s="24"/>
      <c r="J51" s="24"/>
      <c r="K51" s="24"/>
      <c r="L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I51" s="24"/>
      <c r="AJ51" s="24"/>
      <c r="AK51" s="24"/>
      <c r="AL51" s="24"/>
    </row>
    <row r="52" spans="1:38" ht="15.75" customHeight="1" x14ac:dyDescent="0.3">
      <c r="A52" s="24"/>
      <c r="B52" s="24"/>
      <c r="C52" s="25"/>
      <c r="D52" s="24"/>
      <c r="E52" s="24"/>
      <c r="F52" s="24"/>
      <c r="G52" s="24"/>
      <c r="H52" s="24"/>
      <c r="I52" s="24"/>
      <c r="J52" s="24"/>
      <c r="K52" s="24"/>
      <c r="L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I52" s="24"/>
      <c r="AJ52" s="24"/>
      <c r="AK52" s="24"/>
      <c r="AL52" s="24"/>
    </row>
    <row r="53" spans="1:38" ht="15.75" customHeight="1" x14ac:dyDescent="0.3">
      <c r="A53" s="24"/>
      <c r="B53" s="24"/>
      <c r="C53" s="25"/>
      <c r="D53" s="24"/>
      <c r="E53" s="24"/>
      <c r="F53" s="24"/>
      <c r="G53" s="24"/>
      <c r="H53" s="24"/>
      <c r="I53" s="24"/>
      <c r="J53" s="24"/>
      <c r="K53" s="24"/>
      <c r="L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I53" s="24"/>
      <c r="AJ53" s="24"/>
      <c r="AK53" s="24"/>
      <c r="AL53" s="24"/>
    </row>
    <row r="54" spans="1:38" ht="15.75" customHeight="1" x14ac:dyDescent="0.3">
      <c r="A54" s="24"/>
      <c r="B54" s="24"/>
      <c r="C54" s="25"/>
      <c r="D54" s="24"/>
      <c r="E54" s="24"/>
      <c r="F54" s="24"/>
      <c r="G54" s="24"/>
      <c r="H54" s="24"/>
      <c r="I54" s="24"/>
      <c r="J54" s="24"/>
      <c r="K54" s="24"/>
      <c r="L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I54" s="24"/>
      <c r="AJ54" s="24"/>
      <c r="AK54" s="24"/>
      <c r="AL54" s="24"/>
    </row>
    <row r="55" spans="1:38" ht="15.75" customHeight="1" x14ac:dyDescent="0.3">
      <c r="A55" s="24"/>
      <c r="B55" s="24"/>
      <c r="C55" s="25"/>
      <c r="D55" s="24"/>
      <c r="E55" s="24"/>
      <c r="F55" s="24"/>
      <c r="G55" s="24"/>
      <c r="H55" s="24"/>
      <c r="I55" s="24"/>
      <c r="J55" s="24"/>
      <c r="K55" s="24"/>
      <c r="L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I55" s="24"/>
      <c r="AJ55" s="24"/>
      <c r="AK55" s="24"/>
      <c r="AL55" s="24"/>
    </row>
    <row r="56" spans="1:38" ht="15.75" customHeight="1" x14ac:dyDescent="0.3">
      <c r="A56" s="24"/>
      <c r="B56" s="24"/>
      <c r="C56" s="25"/>
      <c r="D56" s="24"/>
      <c r="E56" s="24"/>
      <c r="F56" s="24"/>
      <c r="G56" s="24"/>
      <c r="H56" s="24"/>
      <c r="I56" s="24"/>
      <c r="J56" s="24"/>
      <c r="K56" s="24"/>
      <c r="L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I56" s="24"/>
      <c r="AJ56" s="24"/>
      <c r="AK56" s="24"/>
      <c r="AL56" s="24"/>
    </row>
    <row r="57" spans="1:38" ht="15.75" customHeight="1" x14ac:dyDescent="0.3">
      <c r="A57" s="24"/>
      <c r="B57" s="24"/>
      <c r="C57" s="25"/>
      <c r="D57" s="24"/>
      <c r="E57" s="24"/>
      <c r="F57" s="24"/>
      <c r="G57" s="24"/>
      <c r="H57" s="24"/>
      <c r="I57" s="24"/>
      <c r="J57" s="24"/>
      <c r="K57" s="24"/>
      <c r="L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I57" s="24"/>
      <c r="AJ57" s="24"/>
      <c r="AK57" s="24"/>
      <c r="AL57" s="24"/>
    </row>
    <row r="58" spans="1:38" ht="15.75" customHeight="1" x14ac:dyDescent="0.3">
      <c r="A58" s="24"/>
      <c r="B58" s="24"/>
      <c r="C58" s="25"/>
      <c r="D58" s="24"/>
      <c r="E58" s="24"/>
      <c r="F58" s="24"/>
      <c r="G58" s="24"/>
      <c r="H58" s="24"/>
      <c r="I58" s="24"/>
      <c r="J58" s="24"/>
      <c r="K58" s="24"/>
      <c r="L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I58" s="24"/>
      <c r="AJ58" s="24"/>
      <c r="AK58" s="24"/>
      <c r="AL58" s="24"/>
    </row>
    <row r="59" spans="1:38" ht="15.75" customHeight="1" x14ac:dyDescent="0.3">
      <c r="A59" s="24"/>
      <c r="B59" s="24"/>
      <c r="C59" s="25"/>
      <c r="D59" s="24"/>
      <c r="E59" s="24"/>
      <c r="F59" s="24"/>
      <c r="G59" s="24"/>
      <c r="H59" s="24"/>
      <c r="I59" s="24"/>
      <c r="J59" s="24"/>
      <c r="K59" s="24"/>
      <c r="L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I59" s="24"/>
      <c r="AJ59" s="24"/>
      <c r="AK59" s="24"/>
      <c r="AL59" s="24"/>
    </row>
    <row r="60" spans="1:38" ht="15.75" customHeight="1" x14ac:dyDescent="0.3">
      <c r="A60" s="24"/>
      <c r="B60" s="24"/>
      <c r="C60" s="25"/>
      <c r="D60" s="24"/>
      <c r="E60" s="24"/>
      <c r="F60" s="24"/>
      <c r="G60" s="24"/>
      <c r="H60" s="24"/>
      <c r="I60" s="24"/>
      <c r="J60" s="24"/>
      <c r="K60" s="24"/>
      <c r="L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I60" s="24"/>
      <c r="AJ60" s="24"/>
      <c r="AK60" s="24"/>
      <c r="AL60" s="24"/>
    </row>
    <row r="61" spans="1:38" ht="15.75" customHeight="1" x14ac:dyDescent="0.3">
      <c r="A61" s="24"/>
      <c r="B61" s="24"/>
      <c r="C61" s="25"/>
      <c r="D61" s="24"/>
      <c r="E61" s="24"/>
      <c r="F61" s="24"/>
      <c r="G61" s="24"/>
      <c r="H61" s="24"/>
      <c r="I61" s="24"/>
      <c r="J61" s="24"/>
      <c r="K61" s="24"/>
      <c r="L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I61" s="24"/>
      <c r="AJ61" s="24"/>
      <c r="AK61" s="24"/>
      <c r="AL61" s="24"/>
    </row>
    <row r="62" spans="1:38" ht="15.75" customHeight="1" x14ac:dyDescent="0.3">
      <c r="A62" s="24"/>
      <c r="B62" s="24"/>
      <c r="C62" s="25"/>
      <c r="D62" s="24"/>
      <c r="E62" s="24"/>
      <c r="F62" s="24"/>
      <c r="G62" s="24"/>
      <c r="H62" s="24"/>
      <c r="I62" s="24"/>
      <c r="J62" s="24"/>
      <c r="K62" s="24"/>
      <c r="L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I62" s="24"/>
      <c r="AJ62" s="24"/>
      <c r="AK62" s="24"/>
      <c r="AL62" s="24"/>
    </row>
    <row r="63" spans="1:38" ht="15.75" customHeight="1" x14ac:dyDescent="0.3">
      <c r="A63" s="24"/>
      <c r="B63" s="24"/>
      <c r="C63" s="25"/>
      <c r="D63" s="24"/>
      <c r="E63" s="24"/>
      <c r="F63" s="24"/>
      <c r="G63" s="24"/>
      <c r="H63" s="24"/>
      <c r="I63" s="24"/>
      <c r="J63" s="24"/>
      <c r="K63" s="24"/>
      <c r="L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I63" s="24"/>
      <c r="AJ63" s="24"/>
      <c r="AK63" s="24"/>
      <c r="AL63" s="24"/>
    </row>
    <row r="64" spans="1:38" ht="15.75" customHeight="1" x14ac:dyDescent="0.3">
      <c r="A64" s="24"/>
      <c r="B64" s="24"/>
      <c r="C64" s="25"/>
      <c r="D64" s="24"/>
      <c r="E64" s="24"/>
      <c r="F64" s="24"/>
      <c r="G64" s="24"/>
      <c r="H64" s="24"/>
      <c r="I64" s="24"/>
      <c r="J64" s="24"/>
      <c r="K64" s="24"/>
      <c r="L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I64" s="24"/>
      <c r="AJ64" s="24"/>
      <c r="AK64" s="24"/>
      <c r="AL64" s="24"/>
    </row>
    <row r="65" spans="1:38" ht="15.75" customHeight="1" x14ac:dyDescent="0.3">
      <c r="A65" s="24"/>
      <c r="B65" s="24"/>
      <c r="C65" s="25"/>
      <c r="D65" s="24"/>
      <c r="E65" s="24"/>
      <c r="F65" s="24"/>
      <c r="G65" s="24"/>
      <c r="H65" s="24"/>
      <c r="I65" s="24"/>
      <c r="J65" s="24"/>
      <c r="K65" s="24"/>
      <c r="L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I65" s="24"/>
      <c r="AJ65" s="24"/>
      <c r="AK65" s="24"/>
      <c r="AL65" s="24"/>
    </row>
    <row r="66" spans="1:38" ht="15.75" customHeight="1" x14ac:dyDescent="0.3">
      <c r="A66" s="24"/>
      <c r="B66" s="24"/>
      <c r="C66" s="25"/>
      <c r="D66" s="24"/>
      <c r="E66" s="24"/>
      <c r="F66" s="24"/>
      <c r="G66" s="24"/>
      <c r="H66" s="24"/>
      <c r="I66" s="24"/>
      <c r="J66" s="24"/>
      <c r="K66" s="24"/>
      <c r="L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I66" s="24"/>
      <c r="AJ66" s="24"/>
      <c r="AK66" s="24"/>
      <c r="AL66" s="24"/>
    </row>
    <row r="67" spans="1:38" ht="15.75" customHeight="1" x14ac:dyDescent="0.3">
      <c r="A67" s="24"/>
      <c r="B67" s="24"/>
      <c r="C67" s="25"/>
      <c r="D67" s="24"/>
      <c r="E67" s="24"/>
      <c r="F67" s="24"/>
      <c r="G67" s="24"/>
      <c r="H67" s="24"/>
      <c r="I67" s="24"/>
      <c r="J67" s="24"/>
      <c r="K67" s="24"/>
      <c r="L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I67" s="24"/>
      <c r="AJ67" s="24"/>
      <c r="AK67" s="24"/>
      <c r="AL67" s="24"/>
    </row>
    <row r="68" spans="1:38" ht="15.75" customHeight="1" x14ac:dyDescent="0.3">
      <c r="A68" s="24"/>
      <c r="B68" s="24"/>
      <c r="C68" s="25"/>
      <c r="D68" s="28"/>
      <c r="E68" s="24"/>
      <c r="F68" s="24"/>
      <c r="G68" s="24"/>
      <c r="H68" s="24"/>
      <c r="I68" s="24"/>
      <c r="J68" s="24"/>
      <c r="K68" s="24"/>
      <c r="L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I68" s="24"/>
      <c r="AJ68" s="24"/>
      <c r="AK68" s="24"/>
      <c r="AL68" s="24"/>
    </row>
    <row r="69" spans="1:38" ht="15.75" customHeight="1" x14ac:dyDescent="0.3">
      <c r="A69" s="24"/>
      <c r="B69" s="24"/>
      <c r="C69" s="25"/>
      <c r="D69" s="25"/>
      <c r="E69" s="24"/>
      <c r="F69" s="24"/>
      <c r="G69" s="24"/>
      <c r="H69" s="24"/>
      <c r="I69" s="24"/>
      <c r="J69" s="24"/>
      <c r="K69" s="24"/>
      <c r="L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I69" s="24"/>
      <c r="AJ69" s="24"/>
      <c r="AK69" s="24"/>
      <c r="AL69" s="24"/>
    </row>
    <row r="70" spans="1:38" ht="15.75" customHeight="1" x14ac:dyDescent="0.3">
      <c r="A70" s="24"/>
      <c r="B70" s="24"/>
      <c r="C70" s="25"/>
      <c r="D70" s="24"/>
      <c r="E70" s="24"/>
      <c r="F70" s="24"/>
      <c r="G70" s="24"/>
      <c r="H70" s="24"/>
      <c r="I70" s="24"/>
      <c r="J70" s="24"/>
      <c r="K70" s="24"/>
      <c r="L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I70" s="24"/>
      <c r="AJ70" s="24"/>
      <c r="AK70" s="24"/>
      <c r="AL70" s="24"/>
    </row>
    <row r="71" spans="1:38" ht="15.75" customHeight="1" x14ac:dyDescent="0.3">
      <c r="A71" s="24"/>
      <c r="B71" s="24"/>
      <c r="C71" s="25"/>
      <c r="D71" s="24"/>
      <c r="E71" s="24"/>
      <c r="F71" s="24"/>
      <c r="G71" s="24"/>
      <c r="H71" s="24"/>
      <c r="I71" s="24"/>
      <c r="J71" s="24"/>
      <c r="K71" s="24"/>
      <c r="L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I71" s="24"/>
      <c r="AJ71" s="24"/>
      <c r="AK71" s="24"/>
      <c r="AL71" s="24"/>
    </row>
    <row r="72" spans="1:38" ht="15.75" customHeight="1" x14ac:dyDescent="0.3">
      <c r="A72" s="24"/>
      <c r="B72" s="24"/>
      <c r="C72" s="25"/>
      <c r="D72" s="28"/>
      <c r="E72" s="24"/>
      <c r="F72" s="24"/>
      <c r="G72" s="24"/>
      <c r="H72" s="24"/>
      <c r="I72" s="24"/>
      <c r="J72" s="24"/>
      <c r="K72" s="24"/>
      <c r="L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I72" s="24"/>
      <c r="AJ72" s="24"/>
      <c r="AK72" s="24"/>
      <c r="AL72" s="24"/>
    </row>
    <row r="73" spans="1:38" ht="15.75" customHeight="1" x14ac:dyDescent="0.3"/>
    <row r="74" spans="1:38" ht="15.75" customHeight="1" x14ac:dyDescent="0.3"/>
    <row r="75" spans="1:38" ht="15.75" customHeight="1" x14ac:dyDescent="0.3"/>
    <row r="76" spans="1:38" ht="15.75" customHeight="1" x14ac:dyDescent="0.3"/>
    <row r="77" spans="1:38" ht="15.75" customHeight="1" x14ac:dyDescent="0.3"/>
    <row r="78" spans="1:38" ht="15.75" customHeight="1" x14ac:dyDescent="0.3"/>
    <row r="79" spans="1:38" ht="15.75" customHeight="1" x14ac:dyDescent="0.3"/>
    <row r="80" spans="1:3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</sheetData>
  <mergeCells count="4">
    <mergeCell ref="A1:L2"/>
    <mergeCell ref="A3:L4"/>
    <mergeCell ref="M3:AB4"/>
    <mergeCell ref="AI3:AL4"/>
  </mergeCells>
  <conditionalFormatting sqref="C6:L29">
    <cfRule type="cellIs" dxfId="7" priority="6" operator="lessThan">
      <formula>10</formula>
    </cfRule>
  </conditionalFormatting>
  <conditionalFormatting sqref="I6:L29">
    <cfRule type="containsText" dxfId="6" priority="7" operator="containsText" text="REPROVADO">
      <formula>NOT(ISERROR(SEARCH(("REPROVADO"),(I6))))</formula>
    </cfRule>
  </conditionalFormatting>
  <conditionalFormatting sqref="J6:J29 L6:L29">
    <cfRule type="cellIs" dxfId="5" priority="1" operator="lessThan">
      <formula>9.45</formula>
    </cfRule>
  </conditionalFormatting>
  <conditionalFormatting sqref="L6:L29 H6:H29 J6:J29">
    <cfRule type="cellIs" dxfId="4" priority="5" operator="lessThan">
      <formula>9.5</formula>
    </cfRule>
  </conditionalFormatting>
  <conditionalFormatting sqref="L6:L29">
    <cfRule type="containsText" dxfId="3" priority="2" operator="containsText" text="Recurso">
      <formula>NOT(ISERROR(SEARCH(("Recurso"),(L6))))</formula>
    </cfRule>
    <cfRule type="containsText" dxfId="2" priority="3" operator="containsText" text="APROVADO">
      <formula>NOT(ISERROR(SEARCH(("APROVADO"),(L6))))</formula>
    </cfRule>
    <cfRule type="containsText" dxfId="1" priority="4" operator="containsText" text="Dispensado">
      <formula>NOT(ISERROR(SEARCH(("Dispensado"),(L6))))</formula>
    </cfRule>
  </conditionalFormatting>
  <conditionalFormatting sqref="M6:AB29">
    <cfRule type="cellIs" dxfId="0" priority="8" operator="lessThan">
      <formula>10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Biologia</vt:lpstr>
      <vt:lpstr>Geografia</vt:lpstr>
      <vt:lpstr>Análise Matemática 1 BM</vt:lpstr>
      <vt:lpstr>Análise Matemática 2 BM</vt:lpstr>
      <vt:lpstr>Computadores no Ensino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Gerson  Benjamim</cp:lastModifiedBy>
  <dcterms:modified xsi:type="dcterms:W3CDTF">2026-07-02T16:39:02Z</dcterms:modified>
</cp:coreProperties>
</file>